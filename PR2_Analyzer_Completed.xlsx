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gosai\Downloads\"/>
    </mc:Choice>
  </mc:AlternateContent>
  <xr:revisionPtr revIDLastSave="0" documentId="13_ncr:1_{FDA71919-1099-46CA-AFA6-3D949CB72EC4}" xr6:coauthVersionLast="47" xr6:coauthVersionMax="47" xr10:uidLastSave="{00000000-0000-0000-0000-000000000000}"/>
  <bookViews>
    <workbookView xWindow="-108" yWindow="-108" windowWidth="23256" windowHeight="12456" activeTab="2" xr2:uid="{00000000-000D-0000-FFFF-FFFF00000000}"/>
  </bookViews>
  <sheets>
    <sheet name="Project Instructions" sheetId="1" r:id="rId1"/>
    <sheet name="Dataset" sheetId="2" r:id="rId2"/>
    <sheet name="Pivot Table" sheetId="3" r:id="rId3"/>
    <sheet name="Dashboard" sheetId="4" r:id="rId4"/>
  </sheets>
  <definedNames>
    <definedName name="_xlnm._FilterDatabase" localSheetId="1" hidden="1">Dataset!$A$1:$R$201</definedName>
    <definedName name="_xlnm._FilterDatabase" localSheetId="2" hidden="1">'Pivot Table'!$I$4:$O$34</definedName>
  </definedNames>
  <calcPr calcId="191029"/>
  <pivotCaches>
    <pivotCache cacheId="5"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8" i="4" l="1"/>
  <c r="O9" i="4"/>
  <c r="B3" i="4"/>
  <c r="F35" i="3"/>
  <c r="E35" i="3"/>
  <c r="A35" i="3"/>
  <c r="M34" i="3"/>
  <c r="L34" i="3"/>
  <c r="K34" i="3"/>
  <c r="J34" i="3"/>
  <c r="M33" i="3"/>
  <c r="L33" i="3"/>
  <c r="K33" i="3"/>
  <c r="J33" i="3"/>
  <c r="M32" i="3"/>
  <c r="L32" i="3"/>
  <c r="K32" i="3"/>
  <c r="J32" i="3"/>
  <c r="M31" i="3"/>
  <c r="L31" i="3"/>
  <c r="K31" i="3"/>
  <c r="J31" i="3"/>
  <c r="M30" i="3"/>
  <c r="L30" i="3"/>
  <c r="K30" i="3"/>
  <c r="J30" i="3"/>
  <c r="F30" i="3"/>
  <c r="M29" i="3"/>
  <c r="L29" i="3"/>
  <c r="K29" i="3"/>
  <c r="J29" i="3"/>
  <c r="F29" i="3"/>
  <c r="D29" i="3"/>
  <c r="E29" i="3" s="1"/>
  <c r="C29" i="3"/>
  <c r="B29" i="3"/>
  <c r="M28" i="3"/>
  <c r="L28" i="3"/>
  <c r="K28" i="3"/>
  <c r="J28" i="3"/>
  <c r="F28" i="3"/>
  <c r="D28" i="3"/>
  <c r="E28" i="3" s="1"/>
  <c r="C28" i="3"/>
  <c r="B28" i="3"/>
  <c r="M27" i="3"/>
  <c r="L27" i="3"/>
  <c r="K27" i="3"/>
  <c r="J27" i="3"/>
  <c r="F27" i="3"/>
  <c r="D27" i="3"/>
  <c r="E27" i="3" s="1"/>
  <c r="C27" i="3"/>
  <c r="B27" i="3"/>
  <c r="M26" i="3"/>
  <c r="L26" i="3"/>
  <c r="K26" i="3"/>
  <c r="J26" i="3"/>
  <c r="F26" i="3"/>
  <c r="D26" i="3"/>
  <c r="E26" i="3" s="1"/>
  <c r="C26" i="3"/>
  <c r="B26" i="3"/>
  <c r="M25" i="3"/>
  <c r="L25" i="3"/>
  <c r="K25" i="3"/>
  <c r="J25" i="3"/>
  <c r="F25" i="3"/>
  <c r="D25" i="3"/>
  <c r="C25" i="3"/>
  <c r="B25" i="3"/>
  <c r="B30" i="3" s="1"/>
  <c r="M24" i="3"/>
  <c r="L24" i="3"/>
  <c r="K24" i="3"/>
  <c r="J24" i="3"/>
  <c r="M23" i="3"/>
  <c r="L23" i="3"/>
  <c r="K23" i="3"/>
  <c r="J23" i="3"/>
  <c r="M22" i="3"/>
  <c r="L22" i="3"/>
  <c r="K22" i="3"/>
  <c r="J22" i="3"/>
  <c r="M21" i="3"/>
  <c r="L21" i="3"/>
  <c r="K21" i="3"/>
  <c r="J21" i="3"/>
  <c r="M20" i="3"/>
  <c r="L20" i="3"/>
  <c r="K20" i="3"/>
  <c r="J20" i="3"/>
  <c r="F20" i="3"/>
  <c r="B9" i="4" s="1"/>
  <c r="M19" i="3"/>
  <c r="L19" i="3"/>
  <c r="K19" i="3"/>
  <c r="J19" i="3"/>
  <c r="F19" i="3"/>
  <c r="D19" i="3"/>
  <c r="E19" i="3" s="1"/>
  <c r="C19" i="3"/>
  <c r="B19" i="3"/>
  <c r="M18" i="3"/>
  <c r="L18" i="3"/>
  <c r="K18" i="3"/>
  <c r="J18" i="3"/>
  <c r="F18" i="3"/>
  <c r="D18" i="3"/>
  <c r="E18" i="3" s="1"/>
  <c r="C18" i="3"/>
  <c r="B18" i="3"/>
  <c r="M17" i="3"/>
  <c r="L17" i="3"/>
  <c r="K17" i="3"/>
  <c r="J17" i="3"/>
  <c r="F17" i="3"/>
  <c r="D17" i="3"/>
  <c r="E17" i="3" s="1"/>
  <c r="C17" i="3"/>
  <c r="B17" i="3"/>
  <c r="M16" i="3"/>
  <c r="L16" i="3"/>
  <c r="K16" i="3"/>
  <c r="J16" i="3"/>
  <c r="F16" i="3"/>
  <c r="D16" i="3"/>
  <c r="E16" i="3" s="1"/>
  <c r="C16" i="3"/>
  <c r="B16" i="3"/>
  <c r="M15" i="3"/>
  <c r="L15" i="3"/>
  <c r="K15" i="3"/>
  <c r="J15" i="3"/>
  <c r="F15" i="3"/>
  <c r="D15" i="3"/>
  <c r="C15" i="3"/>
  <c r="B15" i="3"/>
  <c r="B20" i="3" s="1"/>
  <c r="L6" i="4" s="1"/>
  <c r="M14" i="3"/>
  <c r="L14" i="3"/>
  <c r="K14" i="3"/>
  <c r="J14" i="3"/>
  <c r="M13" i="3"/>
  <c r="L13" i="3"/>
  <c r="K13" i="3"/>
  <c r="J13" i="3"/>
  <c r="M12" i="3"/>
  <c r="L12" i="3"/>
  <c r="K12" i="3"/>
  <c r="J12" i="3"/>
  <c r="M11" i="3"/>
  <c r="L11" i="3"/>
  <c r="K11" i="3"/>
  <c r="J11" i="3"/>
  <c r="M10" i="3"/>
  <c r="L10" i="3"/>
  <c r="K10" i="3"/>
  <c r="J10" i="3"/>
  <c r="M9" i="3"/>
  <c r="L9" i="3"/>
  <c r="K9" i="3"/>
  <c r="J9" i="3"/>
  <c r="F9" i="3"/>
  <c r="E9" i="3"/>
  <c r="D9" i="3"/>
  <c r="C9" i="3"/>
  <c r="B9" i="3"/>
  <c r="G9" i="3" s="1"/>
  <c r="M8" i="3"/>
  <c r="L8" i="3"/>
  <c r="K8" i="3"/>
  <c r="J8" i="3"/>
  <c r="F8" i="3"/>
  <c r="E8" i="3"/>
  <c r="D8" i="3"/>
  <c r="C8" i="3"/>
  <c r="B8" i="3"/>
  <c r="G8" i="3" s="1"/>
  <c r="M7" i="3"/>
  <c r="L7" i="3"/>
  <c r="K7" i="3"/>
  <c r="J7" i="3"/>
  <c r="F7" i="3"/>
  <c r="E7" i="3"/>
  <c r="D7" i="3"/>
  <c r="C7" i="3"/>
  <c r="B7" i="3"/>
  <c r="G7" i="3" s="1"/>
  <c r="M6" i="3"/>
  <c r="L6" i="3"/>
  <c r="K6" i="3"/>
  <c r="J6" i="3"/>
  <c r="F6" i="3"/>
  <c r="E6" i="3"/>
  <c r="D6" i="3"/>
  <c r="C6" i="3"/>
  <c r="B6" i="3"/>
  <c r="G6" i="3" s="1"/>
  <c r="M5" i="3"/>
  <c r="M35" i="3" s="1"/>
  <c r="L5" i="3"/>
  <c r="K5" i="3"/>
  <c r="K35" i="3" s="1"/>
  <c r="J5" i="3"/>
  <c r="F5" i="3"/>
  <c r="F10" i="3" s="1"/>
  <c r="E5" i="3"/>
  <c r="E10" i="3" s="1"/>
  <c r="D5" i="3"/>
  <c r="D10" i="3" s="1"/>
  <c r="C5" i="3"/>
  <c r="C10" i="3" s="1"/>
  <c r="B5" i="3"/>
  <c r="R4" i="3"/>
  <c r="R201" i="2"/>
  <c r="P201" i="2"/>
  <c r="O201" i="2"/>
  <c r="L201" i="2"/>
  <c r="M201" i="2" s="1"/>
  <c r="N201" i="2" s="1"/>
  <c r="J201" i="2"/>
  <c r="Q201" i="2" s="1"/>
  <c r="R200" i="2"/>
  <c r="P200" i="2"/>
  <c r="O200" i="2"/>
  <c r="L200" i="2"/>
  <c r="M200" i="2" s="1"/>
  <c r="N200" i="2" s="1"/>
  <c r="J200" i="2"/>
  <c r="Q200" i="2" s="1"/>
  <c r="R199" i="2"/>
  <c r="P199" i="2"/>
  <c r="O199" i="2"/>
  <c r="L199" i="2"/>
  <c r="M199" i="2" s="1"/>
  <c r="N199" i="2" s="1"/>
  <c r="J199" i="2"/>
  <c r="Q199" i="2" s="1"/>
  <c r="R198" i="2"/>
  <c r="P198" i="2"/>
  <c r="O198" i="2"/>
  <c r="L198" i="2"/>
  <c r="M198" i="2" s="1"/>
  <c r="N198" i="2" s="1"/>
  <c r="J198" i="2"/>
  <c r="Q198" i="2" s="1"/>
  <c r="R197" i="2"/>
  <c r="P197" i="2"/>
  <c r="O197" i="2"/>
  <c r="L197" i="2"/>
  <c r="M197" i="2" s="1"/>
  <c r="N197" i="2" s="1"/>
  <c r="J197" i="2"/>
  <c r="Q197" i="2" s="1"/>
  <c r="R196" i="2"/>
  <c r="P196" i="2"/>
  <c r="O196" i="2"/>
  <c r="L196" i="2"/>
  <c r="M196" i="2" s="1"/>
  <c r="N196" i="2" s="1"/>
  <c r="J196" i="2"/>
  <c r="Q196" i="2" s="1"/>
  <c r="R195" i="2"/>
  <c r="P195" i="2"/>
  <c r="O195" i="2"/>
  <c r="L195" i="2"/>
  <c r="M195" i="2" s="1"/>
  <c r="N195" i="2" s="1"/>
  <c r="J195" i="2"/>
  <c r="Q195" i="2" s="1"/>
  <c r="R194" i="2"/>
  <c r="P194" i="2"/>
  <c r="O194" i="2"/>
  <c r="L194" i="2"/>
  <c r="M194" i="2" s="1"/>
  <c r="N194" i="2" s="1"/>
  <c r="J194" i="2"/>
  <c r="Q194" i="2" s="1"/>
  <c r="R193" i="2"/>
  <c r="P193" i="2"/>
  <c r="O193" i="2"/>
  <c r="L193" i="2"/>
  <c r="M193" i="2" s="1"/>
  <c r="N193" i="2" s="1"/>
  <c r="J193" i="2"/>
  <c r="Q193" i="2" s="1"/>
  <c r="R192" i="2"/>
  <c r="P192" i="2"/>
  <c r="O192" i="2"/>
  <c r="L192" i="2"/>
  <c r="M192" i="2" s="1"/>
  <c r="N192" i="2" s="1"/>
  <c r="J192" i="2"/>
  <c r="Q192" i="2" s="1"/>
  <c r="R191" i="2"/>
  <c r="P191" i="2"/>
  <c r="O191" i="2"/>
  <c r="L191" i="2"/>
  <c r="M191" i="2" s="1"/>
  <c r="N191" i="2" s="1"/>
  <c r="J191" i="2"/>
  <c r="Q191" i="2" s="1"/>
  <c r="R190" i="2"/>
  <c r="P190" i="2"/>
  <c r="O190" i="2"/>
  <c r="L190" i="2"/>
  <c r="M190" i="2" s="1"/>
  <c r="N190" i="2" s="1"/>
  <c r="J190" i="2"/>
  <c r="Q190" i="2" s="1"/>
  <c r="R189" i="2"/>
  <c r="P189" i="2"/>
  <c r="O189" i="2"/>
  <c r="L189" i="2"/>
  <c r="M189" i="2" s="1"/>
  <c r="N189" i="2" s="1"/>
  <c r="J189" i="2"/>
  <c r="Q189" i="2" s="1"/>
  <c r="R188" i="2"/>
  <c r="P188" i="2"/>
  <c r="O188" i="2"/>
  <c r="L188" i="2"/>
  <c r="M188" i="2" s="1"/>
  <c r="N188" i="2" s="1"/>
  <c r="J188" i="2"/>
  <c r="Q188" i="2" s="1"/>
  <c r="R187" i="2"/>
  <c r="P187" i="2"/>
  <c r="O187" i="2"/>
  <c r="L187" i="2"/>
  <c r="M187" i="2" s="1"/>
  <c r="N187" i="2" s="1"/>
  <c r="J187" i="2"/>
  <c r="Q187" i="2" s="1"/>
  <c r="R186" i="2"/>
  <c r="P186" i="2"/>
  <c r="O186" i="2"/>
  <c r="L186" i="2"/>
  <c r="M186" i="2" s="1"/>
  <c r="N186" i="2" s="1"/>
  <c r="J186" i="2"/>
  <c r="Q186" i="2" s="1"/>
  <c r="R185" i="2"/>
  <c r="P185" i="2"/>
  <c r="O185" i="2"/>
  <c r="L185" i="2"/>
  <c r="M185" i="2" s="1"/>
  <c r="N185" i="2" s="1"/>
  <c r="J185" i="2"/>
  <c r="Q185" i="2" s="1"/>
  <c r="R184" i="2"/>
  <c r="P184" i="2"/>
  <c r="O184" i="2"/>
  <c r="L184" i="2"/>
  <c r="M184" i="2" s="1"/>
  <c r="N184" i="2" s="1"/>
  <c r="J184" i="2"/>
  <c r="Q184" i="2" s="1"/>
  <c r="R183" i="2"/>
  <c r="P183" i="2"/>
  <c r="O183" i="2"/>
  <c r="L183" i="2"/>
  <c r="M183" i="2" s="1"/>
  <c r="N183" i="2" s="1"/>
  <c r="J183" i="2"/>
  <c r="Q183" i="2" s="1"/>
  <c r="R182" i="2"/>
  <c r="P182" i="2"/>
  <c r="O182" i="2"/>
  <c r="L182" i="2"/>
  <c r="M182" i="2" s="1"/>
  <c r="N182" i="2" s="1"/>
  <c r="J182" i="2"/>
  <c r="Q182" i="2" s="1"/>
  <c r="R181" i="2"/>
  <c r="P181" i="2"/>
  <c r="O181" i="2"/>
  <c r="L181" i="2"/>
  <c r="M181" i="2" s="1"/>
  <c r="N181" i="2" s="1"/>
  <c r="J181" i="2"/>
  <c r="Q181" i="2" s="1"/>
  <c r="R180" i="2"/>
  <c r="P180" i="2"/>
  <c r="O180" i="2"/>
  <c r="L180" i="2"/>
  <c r="M180" i="2" s="1"/>
  <c r="N180" i="2" s="1"/>
  <c r="J180" i="2"/>
  <c r="Q180" i="2" s="1"/>
  <c r="R179" i="2"/>
  <c r="P179" i="2"/>
  <c r="O179" i="2"/>
  <c r="L179" i="2"/>
  <c r="M179" i="2" s="1"/>
  <c r="N179" i="2" s="1"/>
  <c r="J179" i="2"/>
  <c r="Q179" i="2" s="1"/>
  <c r="R178" i="2"/>
  <c r="P178" i="2"/>
  <c r="O178" i="2"/>
  <c r="L178" i="2"/>
  <c r="M178" i="2" s="1"/>
  <c r="N178" i="2" s="1"/>
  <c r="J178" i="2"/>
  <c r="Q178" i="2" s="1"/>
  <c r="R177" i="2"/>
  <c r="P177" i="2"/>
  <c r="O177" i="2"/>
  <c r="L177" i="2"/>
  <c r="M177" i="2" s="1"/>
  <c r="N177" i="2" s="1"/>
  <c r="J177" i="2"/>
  <c r="Q177" i="2" s="1"/>
  <c r="R176" i="2"/>
  <c r="P176" i="2"/>
  <c r="O176" i="2"/>
  <c r="L176" i="2"/>
  <c r="M176" i="2" s="1"/>
  <c r="N176" i="2" s="1"/>
  <c r="J176" i="2"/>
  <c r="Q176" i="2" s="1"/>
  <c r="R175" i="2"/>
  <c r="P175" i="2"/>
  <c r="O175" i="2"/>
  <c r="L175" i="2"/>
  <c r="M175" i="2" s="1"/>
  <c r="N175" i="2" s="1"/>
  <c r="J175" i="2"/>
  <c r="Q175" i="2" s="1"/>
  <c r="R174" i="2"/>
  <c r="P174" i="2"/>
  <c r="O174" i="2"/>
  <c r="L174" i="2"/>
  <c r="M174" i="2" s="1"/>
  <c r="N174" i="2" s="1"/>
  <c r="J174" i="2"/>
  <c r="Q174" i="2" s="1"/>
  <c r="R173" i="2"/>
  <c r="P173" i="2"/>
  <c r="O173" i="2"/>
  <c r="L173" i="2"/>
  <c r="M173" i="2" s="1"/>
  <c r="N173" i="2" s="1"/>
  <c r="J173" i="2"/>
  <c r="Q173" i="2" s="1"/>
  <c r="R172" i="2"/>
  <c r="P172" i="2"/>
  <c r="O172" i="2"/>
  <c r="L172" i="2"/>
  <c r="M172" i="2" s="1"/>
  <c r="N172" i="2" s="1"/>
  <c r="J172" i="2"/>
  <c r="Q172" i="2" s="1"/>
  <c r="R171" i="2"/>
  <c r="P171" i="2"/>
  <c r="O171" i="2"/>
  <c r="L171" i="2"/>
  <c r="M171" i="2" s="1"/>
  <c r="N171" i="2" s="1"/>
  <c r="J171" i="2"/>
  <c r="Q171" i="2" s="1"/>
  <c r="R170" i="2"/>
  <c r="P170" i="2"/>
  <c r="O170" i="2"/>
  <c r="L170" i="2"/>
  <c r="M170" i="2" s="1"/>
  <c r="N170" i="2" s="1"/>
  <c r="J170" i="2"/>
  <c r="Q170" i="2" s="1"/>
  <c r="R169" i="2"/>
  <c r="P169" i="2"/>
  <c r="O169" i="2"/>
  <c r="L169" i="2"/>
  <c r="M169" i="2" s="1"/>
  <c r="N169" i="2" s="1"/>
  <c r="J169" i="2"/>
  <c r="Q169" i="2" s="1"/>
  <c r="R168" i="2"/>
  <c r="P168" i="2"/>
  <c r="O168" i="2"/>
  <c r="L168" i="2"/>
  <c r="M168" i="2" s="1"/>
  <c r="N168" i="2" s="1"/>
  <c r="J168" i="2"/>
  <c r="Q168" i="2" s="1"/>
  <c r="R167" i="2"/>
  <c r="P167" i="2"/>
  <c r="O167" i="2"/>
  <c r="L167" i="2"/>
  <c r="M167" i="2" s="1"/>
  <c r="N167" i="2" s="1"/>
  <c r="J167" i="2"/>
  <c r="Q167" i="2" s="1"/>
  <c r="R166" i="2"/>
  <c r="P166" i="2"/>
  <c r="O166" i="2"/>
  <c r="L166" i="2"/>
  <c r="M166" i="2" s="1"/>
  <c r="N166" i="2" s="1"/>
  <c r="J166" i="2"/>
  <c r="Q166" i="2" s="1"/>
  <c r="R165" i="2"/>
  <c r="P165" i="2"/>
  <c r="O165" i="2"/>
  <c r="L165" i="2"/>
  <c r="M165" i="2" s="1"/>
  <c r="N165" i="2" s="1"/>
  <c r="J165" i="2"/>
  <c r="Q165" i="2" s="1"/>
  <c r="R164" i="2"/>
  <c r="P164" i="2"/>
  <c r="O164" i="2"/>
  <c r="L164" i="2"/>
  <c r="M164" i="2" s="1"/>
  <c r="N164" i="2" s="1"/>
  <c r="J164" i="2"/>
  <c r="Q164" i="2" s="1"/>
  <c r="R163" i="2"/>
  <c r="P163" i="2"/>
  <c r="O163" i="2"/>
  <c r="L163" i="2"/>
  <c r="M163" i="2" s="1"/>
  <c r="N163" i="2" s="1"/>
  <c r="J163" i="2"/>
  <c r="Q163" i="2" s="1"/>
  <c r="R162" i="2"/>
  <c r="P162" i="2"/>
  <c r="O162" i="2"/>
  <c r="M162" i="2"/>
  <c r="N162" i="2" s="1"/>
  <c r="L162" i="2"/>
  <c r="J162" i="2"/>
  <c r="Q162" i="2" s="1"/>
  <c r="R161" i="2"/>
  <c r="P161" i="2"/>
  <c r="O161" i="2"/>
  <c r="L161" i="2"/>
  <c r="M161" i="2" s="1"/>
  <c r="N161" i="2" s="1"/>
  <c r="J161" i="2"/>
  <c r="Q161" i="2" s="1"/>
  <c r="R160" i="2"/>
  <c r="P160" i="2"/>
  <c r="O160" i="2"/>
  <c r="L160" i="2"/>
  <c r="M160" i="2" s="1"/>
  <c r="N160" i="2" s="1"/>
  <c r="J160" i="2"/>
  <c r="Q160" i="2" s="1"/>
  <c r="R159" i="2"/>
  <c r="P159" i="2"/>
  <c r="O159" i="2"/>
  <c r="L159" i="2"/>
  <c r="M159" i="2" s="1"/>
  <c r="N159" i="2" s="1"/>
  <c r="J159" i="2"/>
  <c r="Q159" i="2" s="1"/>
  <c r="R158" i="2"/>
  <c r="P158" i="2"/>
  <c r="O158" i="2"/>
  <c r="L158" i="2"/>
  <c r="M158" i="2" s="1"/>
  <c r="N158" i="2" s="1"/>
  <c r="J158" i="2"/>
  <c r="Q158" i="2" s="1"/>
  <c r="R157" i="2"/>
  <c r="P157" i="2"/>
  <c r="O157" i="2"/>
  <c r="L157" i="2"/>
  <c r="M157" i="2" s="1"/>
  <c r="N157" i="2" s="1"/>
  <c r="J157" i="2"/>
  <c r="Q157" i="2" s="1"/>
  <c r="R156" i="2"/>
  <c r="P156" i="2"/>
  <c r="O156" i="2"/>
  <c r="L156" i="2"/>
  <c r="M156" i="2" s="1"/>
  <c r="N156" i="2" s="1"/>
  <c r="J156" i="2"/>
  <c r="Q156" i="2" s="1"/>
  <c r="R155" i="2"/>
  <c r="P155" i="2"/>
  <c r="O155" i="2"/>
  <c r="L155" i="2"/>
  <c r="M155" i="2" s="1"/>
  <c r="N155" i="2" s="1"/>
  <c r="J155" i="2"/>
  <c r="Q155" i="2" s="1"/>
  <c r="R154" i="2"/>
  <c r="P154" i="2"/>
  <c r="O154" i="2"/>
  <c r="L154" i="2"/>
  <c r="M154" i="2" s="1"/>
  <c r="N154" i="2" s="1"/>
  <c r="J154" i="2"/>
  <c r="Q154" i="2" s="1"/>
  <c r="R153" i="2"/>
  <c r="P153" i="2"/>
  <c r="O153" i="2"/>
  <c r="L153" i="2"/>
  <c r="M153" i="2" s="1"/>
  <c r="N153" i="2" s="1"/>
  <c r="J153" i="2"/>
  <c r="Q153" i="2" s="1"/>
  <c r="R152" i="2"/>
  <c r="P152" i="2"/>
  <c r="O152" i="2"/>
  <c r="L152" i="2"/>
  <c r="M152" i="2" s="1"/>
  <c r="N152" i="2" s="1"/>
  <c r="J152" i="2"/>
  <c r="Q152" i="2" s="1"/>
  <c r="R151" i="2"/>
  <c r="P151" i="2"/>
  <c r="O151" i="2"/>
  <c r="L151" i="2"/>
  <c r="M151" i="2" s="1"/>
  <c r="N151" i="2" s="1"/>
  <c r="J151" i="2"/>
  <c r="Q151" i="2" s="1"/>
  <c r="R150" i="2"/>
  <c r="P150" i="2"/>
  <c r="O150" i="2"/>
  <c r="L150" i="2"/>
  <c r="M150" i="2" s="1"/>
  <c r="N150" i="2" s="1"/>
  <c r="J150" i="2"/>
  <c r="Q150" i="2" s="1"/>
  <c r="R149" i="2"/>
  <c r="P149" i="2"/>
  <c r="O149" i="2"/>
  <c r="L149" i="2"/>
  <c r="M149" i="2" s="1"/>
  <c r="N149" i="2" s="1"/>
  <c r="J149" i="2"/>
  <c r="Q149" i="2" s="1"/>
  <c r="R148" i="2"/>
  <c r="P148" i="2"/>
  <c r="O148" i="2"/>
  <c r="L148" i="2"/>
  <c r="M148" i="2" s="1"/>
  <c r="N148" i="2" s="1"/>
  <c r="J148" i="2"/>
  <c r="Q148" i="2" s="1"/>
  <c r="R147" i="2"/>
  <c r="P147" i="2"/>
  <c r="O147" i="2"/>
  <c r="L147" i="2"/>
  <c r="M147" i="2" s="1"/>
  <c r="N147" i="2" s="1"/>
  <c r="J147" i="2"/>
  <c r="Q147" i="2" s="1"/>
  <c r="R146" i="2"/>
  <c r="P146" i="2"/>
  <c r="O146" i="2"/>
  <c r="L146" i="2"/>
  <c r="M146" i="2" s="1"/>
  <c r="N146" i="2" s="1"/>
  <c r="J146" i="2"/>
  <c r="Q146" i="2" s="1"/>
  <c r="R145" i="2"/>
  <c r="P145" i="2"/>
  <c r="O145" i="2"/>
  <c r="L145" i="2"/>
  <c r="M145" i="2" s="1"/>
  <c r="N145" i="2" s="1"/>
  <c r="J145" i="2"/>
  <c r="Q145" i="2" s="1"/>
  <c r="R144" i="2"/>
  <c r="P144" i="2"/>
  <c r="O144" i="2"/>
  <c r="L144" i="2"/>
  <c r="M144" i="2" s="1"/>
  <c r="N144" i="2" s="1"/>
  <c r="J144" i="2"/>
  <c r="Q144" i="2" s="1"/>
  <c r="R143" i="2"/>
  <c r="P143" i="2"/>
  <c r="O143" i="2"/>
  <c r="L143" i="2"/>
  <c r="M143" i="2" s="1"/>
  <c r="N143" i="2" s="1"/>
  <c r="J143" i="2"/>
  <c r="Q143" i="2" s="1"/>
  <c r="R142" i="2"/>
  <c r="Q142" i="2"/>
  <c r="P142" i="2"/>
  <c r="O142" i="2"/>
  <c r="L142" i="2"/>
  <c r="M142" i="2" s="1"/>
  <c r="N142" i="2" s="1"/>
  <c r="J142" i="2"/>
  <c r="R141" i="2"/>
  <c r="P141" i="2"/>
  <c r="O141" i="2"/>
  <c r="L141" i="2"/>
  <c r="M141" i="2" s="1"/>
  <c r="N141" i="2" s="1"/>
  <c r="J141" i="2"/>
  <c r="Q141" i="2" s="1"/>
  <c r="R140" i="2"/>
  <c r="P140" i="2"/>
  <c r="O140" i="2"/>
  <c r="L140" i="2"/>
  <c r="M140" i="2" s="1"/>
  <c r="N140" i="2" s="1"/>
  <c r="J140" i="2"/>
  <c r="Q140" i="2" s="1"/>
  <c r="R139" i="2"/>
  <c r="P139" i="2"/>
  <c r="O139" i="2"/>
  <c r="L139" i="2"/>
  <c r="M139" i="2" s="1"/>
  <c r="N139" i="2" s="1"/>
  <c r="J139" i="2"/>
  <c r="Q139" i="2" s="1"/>
  <c r="R138" i="2"/>
  <c r="P138" i="2"/>
  <c r="O138" i="2"/>
  <c r="L138" i="2"/>
  <c r="M138" i="2" s="1"/>
  <c r="N138" i="2" s="1"/>
  <c r="J138" i="2"/>
  <c r="Q138" i="2" s="1"/>
  <c r="R137" i="2"/>
  <c r="P137" i="2"/>
  <c r="O137" i="2"/>
  <c r="L137" i="2"/>
  <c r="M137" i="2" s="1"/>
  <c r="N137" i="2" s="1"/>
  <c r="J137" i="2"/>
  <c r="Q137" i="2" s="1"/>
  <c r="R136" i="2"/>
  <c r="P136" i="2"/>
  <c r="O136" i="2"/>
  <c r="L136" i="2"/>
  <c r="M136" i="2" s="1"/>
  <c r="N136" i="2" s="1"/>
  <c r="J136" i="2"/>
  <c r="Q136" i="2" s="1"/>
  <c r="R135" i="2"/>
  <c r="P135" i="2"/>
  <c r="O135" i="2"/>
  <c r="L135" i="2"/>
  <c r="M135" i="2" s="1"/>
  <c r="N135" i="2" s="1"/>
  <c r="J135" i="2"/>
  <c r="Q135" i="2" s="1"/>
  <c r="R134" i="2"/>
  <c r="P134" i="2"/>
  <c r="O134" i="2"/>
  <c r="L134" i="2"/>
  <c r="M134" i="2" s="1"/>
  <c r="N134" i="2" s="1"/>
  <c r="J134" i="2"/>
  <c r="Q134" i="2" s="1"/>
  <c r="R133" i="2"/>
  <c r="P133" i="2"/>
  <c r="O133" i="2"/>
  <c r="L133" i="2"/>
  <c r="M133" i="2" s="1"/>
  <c r="N133" i="2" s="1"/>
  <c r="J133" i="2"/>
  <c r="Q133" i="2" s="1"/>
  <c r="R132" i="2"/>
  <c r="P132" i="2"/>
  <c r="O132" i="2"/>
  <c r="L132" i="2"/>
  <c r="M132" i="2" s="1"/>
  <c r="N132" i="2" s="1"/>
  <c r="J132" i="2"/>
  <c r="Q132" i="2" s="1"/>
  <c r="R131" i="2"/>
  <c r="P131" i="2"/>
  <c r="O131" i="2"/>
  <c r="L131" i="2"/>
  <c r="M131" i="2" s="1"/>
  <c r="N131" i="2" s="1"/>
  <c r="J131" i="2"/>
  <c r="Q131" i="2" s="1"/>
  <c r="R130" i="2"/>
  <c r="P130" i="2"/>
  <c r="O130" i="2"/>
  <c r="L130" i="2"/>
  <c r="M130" i="2" s="1"/>
  <c r="N130" i="2" s="1"/>
  <c r="J130" i="2"/>
  <c r="Q130" i="2" s="1"/>
  <c r="R129" i="2"/>
  <c r="P129" i="2"/>
  <c r="O129" i="2"/>
  <c r="L129" i="2"/>
  <c r="M129" i="2" s="1"/>
  <c r="N129" i="2" s="1"/>
  <c r="J129" i="2"/>
  <c r="Q129" i="2" s="1"/>
  <c r="R128" i="2"/>
  <c r="P128" i="2"/>
  <c r="O128" i="2"/>
  <c r="L128" i="2"/>
  <c r="M128" i="2" s="1"/>
  <c r="N128" i="2" s="1"/>
  <c r="J128" i="2"/>
  <c r="Q128" i="2" s="1"/>
  <c r="R127" i="2"/>
  <c r="P127" i="2"/>
  <c r="O127" i="2"/>
  <c r="L127" i="2"/>
  <c r="M127" i="2" s="1"/>
  <c r="N127" i="2" s="1"/>
  <c r="J127" i="2"/>
  <c r="Q127" i="2" s="1"/>
  <c r="R126" i="2"/>
  <c r="P126" i="2"/>
  <c r="O126" i="2"/>
  <c r="L126" i="2"/>
  <c r="M126" i="2" s="1"/>
  <c r="N126" i="2" s="1"/>
  <c r="J126" i="2"/>
  <c r="Q126" i="2" s="1"/>
  <c r="R125" i="2"/>
  <c r="P125" i="2"/>
  <c r="O125" i="2"/>
  <c r="L125" i="2"/>
  <c r="M125" i="2" s="1"/>
  <c r="N125" i="2" s="1"/>
  <c r="J125" i="2"/>
  <c r="Q125" i="2" s="1"/>
  <c r="R124" i="2"/>
  <c r="P124" i="2"/>
  <c r="O124" i="2"/>
  <c r="L124" i="2"/>
  <c r="M124" i="2" s="1"/>
  <c r="N124" i="2" s="1"/>
  <c r="J124" i="2"/>
  <c r="Q124" i="2" s="1"/>
  <c r="R123" i="2"/>
  <c r="P123" i="2"/>
  <c r="O123" i="2"/>
  <c r="L123" i="2"/>
  <c r="M123" i="2" s="1"/>
  <c r="N123" i="2" s="1"/>
  <c r="J123" i="2"/>
  <c r="Q123" i="2" s="1"/>
  <c r="R122" i="2"/>
  <c r="P122" i="2"/>
  <c r="O122" i="2"/>
  <c r="L122" i="2"/>
  <c r="M122" i="2" s="1"/>
  <c r="N122" i="2" s="1"/>
  <c r="J122" i="2"/>
  <c r="Q122" i="2" s="1"/>
  <c r="R121" i="2"/>
  <c r="P121" i="2"/>
  <c r="O121" i="2"/>
  <c r="L121" i="2"/>
  <c r="M121" i="2" s="1"/>
  <c r="N121" i="2" s="1"/>
  <c r="J121" i="2"/>
  <c r="Q121" i="2" s="1"/>
  <c r="R120" i="2"/>
  <c r="P120" i="2"/>
  <c r="O120" i="2"/>
  <c r="L120" i="2"/>
  <c r="M120" i="2" s="1"/>
  <c r="N120" i="2" s="1"/>
  <c r="J120" i="2"/>
  <c r="Q120" i="2" s="1"/>
  <c r="R119" i="2"/>
  <c r="P119" i="2"/>
  <c r="O119" i="2"/>
  <c r="L119" i="2"/>
  <c r="M119" i="2" s="1"/>
  <c r="N119" i="2" s="1"/>
  <c r="J119" i="2"/>
  <c r="Q119" i="2" s="1"/>
  <c r="R118" i="2"/>
  <c r="P118" i="2"/>
  <c r="O118" i="2"/>
  <c r="L118" i="2"/>
  <c r="M118" i="2" s="1"/>
  <c r="N118" i="2" s="1"/>
  <c r="J118" i="2"/>
  <c r="Q118" i="2" s="1"/>
  <c r="R117" i="2"/>
  <c r="P117" i="2"/>
  <c r="O117" i="2"/>
  <c r="L117" i="2"/>
  <c r="M117" i="2" s="1"/>
  <c r="N117" i="2" s="1"/>
  <c r="J117" i="2"/>
  <c r="Q117" i="2" s="1"/>
  <c r="R116" i="2"/>
  <c r="P116" i="2"/>
  <c r="O116" i="2"/>
  <c r="L116" i="2"/>
  <c r="M116" i="2" s="1"/>
  <c r="N116" i="2" s="1"/>
  <c r="J116" i="2"/>
  <c r="Q116" i="2" s="1"/>
  <c r="R115" i="2"/>
  <c r="P115" i="2"/>
  <c r="O115" i="2"/>
  <c r="L115" i="2"/>
  <c r="M115" i="2" s="1"/>
  <c r="N115" i="2" s="1"/>
  <c r="J115" i="2"/>
  <c r="Q115" i="2" s="1"/>
  <c r="R114" i="2"/>
  <c r="P114" i="2"/>
  <c r="O114" i="2"/>
  <c r="L114" i="2"/>
  <c r="M114" i="2" s="1"/>
  <c r="N114" i="2" s="1"/>
  <c r="J114" i="2"/>
  <c r="Q114" i="2" s="1"/>
  <c r="R113" i="2"/>
  <c r="P113" i="2"/>
  <c r="O113" i="2"/>
  <c r="L113" i="2"/>
  <c r="M113" i="2" s="1"/>
  <c r="N113" i="2" s="1"/>
  <c r="J113" i="2"/>
  <c r="Q113" i="2" s="1"/>
  <c r="R112" i="2"/>
  <c r="P112" i="2"/>
  <c r="O112" i="2"/>
  <c r="L112" i="2"/>
  <c r="M112" i="2" s="1"/>
  <c r="N112" i="2" s="1"/>
  <c r="J112" i="2"/>
  <c r="Q112" i="2" s="1"/>
  <c r="R111" i="2"/>
  <c r="P111" i="2"/>
  <c r="O111" i="2"/>
  <c r="L111" i="2"/>
  <c r="M111" i="2" s="1"/>
  <c r="N111" i="2" s="1"/>
  <c r="J111" i="2"/>
  <c r="Q111" i="2" s="1"/>
  <c r="R110" i="2"/>
  <c r="P110" i="2"/>
  <c r="O110" i="2"/>
  <c r="L110" i="2"/>
  <c r="M110" i="2" s="1"/>
  <c r="N110" i="2" s="1"/>
  <c r="J110" i="2"/>
  <c r="Q110" i="2" s="1"/>
  <c r="R109" i="2"/>
  <c r="P109" i="2"/>
  <c r="O109" i="2"/>
  <c r="L109" i="2"/>
  <c r="M109" i="2" s="1"/>
  <c r="N109" i="2" s="1"/>
  <c r="J109" i="2"/>
  <c r="Q109" i="2" s="1"/>
  <c r="R108" i="2"/>
  <c r="P108" i="2"/>
  <c r="O108" i="2"/>
  <c r="L108" i="2"/>
  <c r="M108" i="2" s="1"/>
  <c r="N108" i="2" s="1"/>
  <c r="J108" i="2"/>
  <c r="Q108" i="2" s="1"/>
  <c r="R107" i="2"/>
  <c r="P107" i="2"/>
  <c r="O107" i="2"/>
  <c r="L107" i="2"/>
  <c r="M107" i="2" s="1"/>
  <c r="N107" i="2" s="1"/>
  <c r="J107" i="2"/>
  <c r="Q107" i="2" s="1"/>
  <c r="R106" i="2"/>
  <c r="P106" i="2"/>
  <c r="O106" i="2"/>
  <c r="L106" i="2"/>
  <c r="M106" i="2" s="1"/>
  <c r="N106" i="2" s="1"/>
  <c r="J106" i="2"/>
  <c r="Q106" i="2" s="1"/>
  <c r="R105" i="2"/>
  <c r="P105" i="2"/>
  <c r="O105" i="2"/>
  <c r="L105" i="2"/>
  <c r="M105" i="2" s="1"/>
  <c r="N105" i="2" s="1"/>
  <c r="J105" i="2"/>
  <c r="Q105" i="2" s="1"/>
  <c r="R104" i="2"/>
  <c r="P104" i="2"/>
  <c r="O104" i="2"/>
  <c r="L104" i="2"/>
  <c r="M104" i="2" s="1"/>
  <c r="N104" i="2" s="1"/>
  <c r="J104" i="2"/>
  <c r="Q104" i="2" s="1"/>
  <c r="R103" i="2"/>
  <c r="P103" i="2"/>
  <c r="O103" i="2"/>
  <c r="L103" i="2"/>
  <c r="M103" i="2" s="1"/>
  <c r="N103" i="2" s="1"/>
  <c r="J103" i="2"/>
  <c r="Q103" i="2" s="1"/>
  <c r="R102" i="2"/>
  <c r="P102" i="2"/>
  <c r="O102" i="2"/>
  <c r="L102" i="2"/>
  <c r="M102" i="2" s="1"/>
  <c r="N102" i="2" s="1"/>
  <c r="J102" i="2"/>
  <c r="Q102" i="2" s="1"/>
  <c r="R101" i="2"/>
  <c r="P101" i="2"/>
  <c r="O101" i="2"/>
  <c r="L101" i="2"/>
  <c r="M101" i="2" s="1"/>
  <c r="N101" i="2" s="1"/>
  <c r="J101" i="2"/>
  <c r="Q101" i="2" s="1"/>
  <c r="R100" i="2"/>
  <c r="P100" i="2"/>
  <c r="O100" i="2"/>
  <c r="L100" i="2"/>
  <c r="M100" i="2" s="1"/>
  <c r="N100" i="2" s="1"/>
  <c r="J100" i="2"/>
  <c r="Q100" i="2" s="1"/>
  <c r="R99" i="2"/>
  <c r="P99" i="2"/>
  <c r="O99" i="2"/>
  <c r="L99" i="2"/>
  <c r="M99" i="2" s="1"/>
  <c r="N99" i="2" s="1"/>
  <c r="J99" i="2"/>
  <c r="Q99" i="2" s="1"/>
  <c r="R98" i="2"/>
  <c r="P98" i="2"/>
  <c r="O98" i="2"/>
  <c r="L98" i="2"/>
  <c r="M98" i="2" s="1"/>
  <c r="N98" i="2" s="1"/>
  <c r="J98" i="2"/>
  <c r="Q98" i="2" s="1"/>
  <c r="R97" i="2"/>
  <c r="P97" i="2"/>
  <c r="O97" i="2"/>
  <c r="L97" i="2"/>
  <c r="M97" i="2" s="1"/>
  <c r="N97" i="2" s="1"/>
  <c r="J97" i="2"/>
  <c r="Q97" i="2" s="1"/>
  <c r="R96" i="2"/>
  <c r="P96" i="2"/>
  <c r="O96" i="2"/>
  <c r="L96" i="2"/>
  <c r="M96" i="2" s="1"/>
  <c r="N96" i="2" s="1"/>
  <c r="J96" i="2"/>
  <c r="Q96" i="2" s="1"/>
  <c r="R95" i="2"/>
  <c r="P95" i="2"/>
  <c r="O95" i="2"/>
  <c r="L95" i="2"/>
  <c r="M95" i="2" s="1"/>
  <c r="N95" i="2" s="1"/>
  <c r="J95" i="2"/>
  <c r="Q95" i="2" s="1"/>
  <c r="R94" i="2"/>
  <c r="P94" i="2"/>
  <c r="O94" i="2"/>
  <c r="L94" i="2"/>
  <c r="M94" i="2" s="1"/>
  <c r="N94" i="2" s="1"/>
  <c r="J94" i="2"/>
  <c r="Q94" i="2" s="1"/>
  <c r="R93" i="2"/>
  <c r="P93" i="2"/>
  <c r="O93" i="2"/>
  <c r="L93" i="2"/>
  <c r="M93" i="2" s="1"/>
  <c r="N93" i="2" s="1"/>
  <c r="J93" i="2"/>
  <c r="Q93" i="2" s="1"/>
  <c r="R92" i="2"/>
  <c r="P92" i="2"/>
  <c r="O92" i="2"/>
  <c r="L92" i="2"/>
  <c r="M92" i="2" s="1"/>
  <c r="N92" i="2" s="1"/>
  <c r="J92" i="2"/>
  <c r="Q92" i="2" s="1"/>
  <c r="R91" i="2"/>
  <c r="P91" i="2"/>
  <c r="O91" i="2"/>
  <c r="L91" i="2"/>
  <c r="M91" i="2" s="1"/>
  <c r="N91" i="2" s="1"/>
  <c r="J91" i="2"/>
  <c r="Q91" i="2" s="1"/>
  <c r="R90" i="2"/>
  <c r="P90" i="2"/>
  <c r="O90" i="2"/>
  <c r="L90" i="2"/>
  <c r="M90" i="2" s="1"/>
  <c r="N90" i="2" s="1"/>
  <c r="J90" i="2"/>
  <c r="Q90" i="2" s="1"/>
  <c r="R89" i="2"/>
  <c r="P89" i="2"/>
  <c r="O89" i="2"/>
  <c r="L89" i="2"/>
  <c r="M89" i="2" s="1"/>
  <c r="N89" i="2" s="1"/>
  <c r="J89" i="2"/>
  <c r="Q89" i="2" s="1"/>
  <c r="R88" i="2"/>
  <c r="P88" i="2"/>
  <c r="O88" i="2"/>
  <c r="L88" i="2"/>
  <c r="M88" i="2" s="1"/>
  <c r="N88" i="2" s="1"/>
  <c r="J88" i="2"/>
  <c r="Q88" i="2" s="1"/>
  <c r="R87" i="2"/>
  <c r="P87" i="2"/>
  <c r="O87" i="2"/>
  <c r="L87" i="2"/>
  <c r="M87" i="2" s="1"/>
  <c r="N87" i="2" s="1"/>
  <c r="J87" i="2"/>
  <c r="Q87" i="2" s="1"/>
  <c r="R86" i="2"/>
  <c r="Q86" i="2"/>
  <c r="P86" i="2"/>
  <c r="O86" i="2"/>
  <c r="L86" i="2"/>
  <c r="M86" i="2" s="1"/>
  <c r="N86" i="2" s="1"/>
  <c r="J86" i="2"/>
  <c r="R85" i="2"/>
  <c r="P85" i="2"/>
  <c r="O85" i="2"/>
  <c r="L85" i="2"/>
  <c r="M85" i="2" s="1"/>
  <c r="N85" i="2" s="1"/>
  <c r="J85" i="2"/>
  <c r="Q85" i="2" s="1"/>
  <c r="R84" i="2"/>
  <c r="P84" i="2"/>
  <c r="O84" i="2"/>
  <c r="L84" i="2"/>
  <c r="M84" i="2" s="1"/>
  <c r="N84" i="2" s="1"/>
  <c r="J84" i="2"/>
  <c r="Q84" i="2" s="1"/>
  <c r="R83" i="2"/>
  <c r="P83" i="2"/>
  <c r="O83" i="2"/>
  <c r="L83" i="2"/>
  <c r="M83" i="2" s="1"/>
  <c r="N83" i="2" s="1"/>
  <c r="J83" i="2"/>
  <c r="Q83" i="2" s="1"/>
  <c r="U82" i="2"/>
  <c r="R82" i="2"/>
  <c r="P82" i="2"/>
  <c r="O82" i="2"/>
  <c r="L82" i="2"/>
  <c r="M82" i="2" s="1"/>
  <c r="N82" i="2" s="1"/>
  <c r="J82" i="2"/>
  <c r="Q82" i="2" s="1"/>
  <c r="R81" i="2"/>
  <c r="P81" i="2"/>
  <c r="O81" i="2"/>
  <c r="L81" i="2"/>
  <c r="M81" i="2" s="1"/>
  <c r="N81" i="2" s="1"/>
  <c r="J81" i="2"/>
  <c r="Q81" i="2" s="1"/>
  <c r="R80" i="2"/>
  <c r="P80" i="2"/>
  <c r="O80" i="2"/>
  <c r="L80" i="2"/>
  <c r="M80" i="2" s="1"/>
  <c r="N80" i="2" s="1"/>
  <c r="J80" i="2"/>
  <c r="Q80" i="2" s="1"/>
  <c r="R79" i="2"/>
  <c r="P79" i="2"/>
  <c r="O79" i="2"/>
  <c r="L79" i="2"/>
  <c r="M79" i="2" s="1"/>
  <c r="N79" i="2" s="1"/>
  <c r="J79" i="2"/>
  <c r="Q79" i="2" s="1"/>
  <c r="R78" i="2"/>
  <c r="P78" i="2"/>
  <c r="O78" i="2"/>
  <c r="L78" i="2"/>
  <c r="M78" i="2" s="1"/>
  <c r="N78" i="2" s="1"/>
  <c r="J78" i="2"/>
  <c r="Q78" i="2" s="1"/>
  <c r="R77" i="2"/>
  <c r="P77" i="2"/>
  <c r="O77" i="2"/>
  <c r="L77" i="2"/>
  <c r="M77" i="2" s="1"/>
  <c r="N77" i="2" s="1"/>
  <c r="J77" i="2"/>
  <c r="Q77" i="2" s="1"/>
  <c r="R76" i="2"/>
  <c r="P76" i="2"/>
  <c r="O76" i="2"/>
  <c r="L76" i="2"/>
  <c r="M76" i="2" s="1"/>
  <c r="N76" i="2" s="1"/>
  <c r="J76" i="2"/>
  <c r="Q76" i="2" s="1"/>
  <c r="R75" i="2"/>
  <c r="P75" i="2"/>
  <c r="O75" i="2"/>
  <c r="L75" i="2"/>
  <c r="M75" i="2" s="1"/>
  <c r="N75" i="2" s="1"/>
  <c r="J75" i="2"/>
  <c r="Q75" i="2" s="1"/>
  <c r="R74" i="2"/>
  <c r="P74" i="2"/>
  <c r="O74" i="2"/>
  <c r="L74" i="2"/>
  <c r="M74" i="2" s="1"/>
  <c r="N74" i="2" s="1"/>
  <c r="J74" i="2"/>
  <c r="Q74" i="2" s="1"/>
  <c r="R73" i="2"/>
  <c r="P73" i="2"/>
  <c r="O73" i="2"/>
  <c r="L73" i="2"/>
  <c r="M73" i="2" s="1"/>
  <c r="N73" i="2" s="1"/>
  <c r="J73" i="2"/>
  <c r="Q73" i="2" s="1"/>
  <c r="R72" i="2"/>
  <c r="P72" i="2"/>
  <c r="O72" i="2"/>
  <c r="L72" i="2"/>
  <c r="M72" i="2" s="1"/>
  <c r="N72" i="2" s="1"/>
  <c r="J72" i="2"/>
  <c r="Q72" i="2" s="1"/>
  <c r="R71" i="2"/>
  <c r="P71" i="2"/>
  <c r="O71" i="2"/>
  <c r="L71" i="2"/>
  <c r="M71" i="2" s="1"/>
  <c r="N71" i="2" s="1"/>
  <c r="J71" i="2"/>
  <c r="Q71" i="2" s="1"/>
  <c r="R70" i="2"/>
  <c r="P70" i="2"/>
  <c r="O70" i="2"/>
  <c r="L70" i="2"/>
  <c r="M70" i="2" s="1"/>
  <c r="N70" i="2" s="1"/>
  <c r="J70" i="2"/>
  <c r="Q70" i="2" s="1"/>
  <c r="R69" i="2"/>
  <c r="P69" i="2"/>
  <c r="O69" i="2"/>
  <c r="L69" i="2"/>
  <c r="M69" i="2" s="1"/>
  <c r="N69" i="2" s="1"/>
  <c r="J69" i="2"/>
  <c r="Q69" i="2" s="1"/>
  <c r="R68" i="2"/>
  <c r="P68" i="2"/>
  <c r="O68" i="2"/>
  <c r="L68" i="2"/>
  <c r="M68" i="2" s="1"/>
  <c r="N68" i="2" s="1"/>
  <c r="J68" i="2"/>
  <c r="Q68" i="2" s="1"/>
  <c r="R67" i="2"/>
  <c r="P67" i="2"/>
  <c r="O67" i="2"/>
  <c r="L67" i="2"/>
  <c r="M67" i="2" s="1"/>
  <c r="N67" i="2" s="1"/>
  <c r="J67" i="2"/>
  <c r="Q67" i="2" s="1"/>
  <c r="R66" i="2"/>
  <c r="P66" i="2"/>
  <c r="O66" i="2"/>
  <c r="L66" i="2"/>
  <c r="M66" i="2" s="1"/>
  <c r="N66" i="2" s="1"/>
  <c r="J66" i="2"/>
  <c r="Q66" i="2" s="1"/>
  <c r="R65" i="2"/>
  <c r="P65" i="2"/>
  <c r="O65" i="2"/>
  <c r="L65" i="2"/>
  <c r="M65" i="2" s="1"/>
  <c r="N65" i="2" s="1"/>
  <c r="J65" i="2"/>
  <c r="Q65" i="2" s="1"/>
  <c r="R64" i="2"/>
  <c r="P64" i="2"/>
  <c r="O64" i="2"/>
  <c r="L64" i="2"/>
  <c r="M64" i="2" s="1"/>
  <c r="N64" i="2" s="1"/>
  <c r="J64" i="2"/>
  <c r="Q64" i="2" s="1"/>
  <c r="R63" i="2"/>
  <c r="P63" i="2"/>
  <c r="O63" i="2"/>
  <c r="L63" i="2"/>
  <c r="M63" i="2" s="1"/>
  <c r="N63" i="2" s="1"/>
  <c r="J63" i="2"/>
  <c r="Q63" i="2" s="1"/>
  <c r="R62" i="2"/>
  <c r="P62" i="2"/>
  <c r="O62" i="2"/>
  <c r="L62" i="2"/>
  <c r="M62" i="2" s="1"/>
  <c r="N62" i="2" s="1"/>
  <c r="J62" i="2"/>
  <c r="Q62" i="2" s="1"/>
  <c r="R61" i="2"/>
  <c r="P61" i="2"/>
  <c r="O61" i="2"/>
  <c r="L61" i="2"/>
  <c r="M61" i="2" s="1"/>
  <c r="N61" i="2" s="1"/>
  <c r="J61" i="2"/>
  <c r="Q61" i="2" s="1"/>
  <c r="R60" i="2"/>
  <c r="P60" i="2"/>
  <c r="O60" i="2"/>
  <c r="L60" i="2"/>
  <c r="M60" i="2" s="1"/>
  <c r="N60" i="2" s="1"/>
  <c r="J60" i="2"/>
  <c r="Q60" i="2" s="1"/>
  <c r="R59" i="2"/>
  <c r="P59" i="2"/>
  <c r="O59" i="2"/>
  <c r="L59" i="2"/>
  <c r="M59" i="2" s="1"/>
  <c r="N59" i="2" s="1"/>
  <c r="J59" i="2"/>
  <c r="Q59" i="2" s="1"/>
  <c r="R58" i="2"/>
  <c r="P58" i="2"/>
  <c r="O58" i="2"/>
  <c r="L58" i="2"/>
  <c r="M58" i="2" s="1"/>
  <c r="N58" i="2" s="1"/>
  <c r="J58" i="2"/>
  <c r="Q58" i="2" s="1"/>
  <c r="R57" i="2"/>
  <c r="P57" i="2"/>
  <c r="O57" i="2"/>
  <c r="L57" i="2"/>
  <c r="M57" i="2" s="1"/>
  <c r="N57" i="2" s="1"/>
  <c r="J57" i="2"/>
  <c r="Q57" i="2" s="1"/>
  <c r="R56" i="2"/>
  <c r="P56" i="2"/>
  <c r="O56" i="2"/>
  <c r="L56" i="2"/>
  <c r="M56" i="2" s="1"/>
  <c r="N56" i="2" s="1"/>
  <c r="J56" i="2"/>
  <c r="Q56" i="2" s="1"/>
  <c r="R55" i="2"/>
  <c r="P55" i="2"/>
  <c r="O55" i="2"/>
  <c r="L55" i="2"/>
  <c r="M55" i="2" s="1"/>
  <c r="N55" i="2" s="1"/>
  <c r="J55" i="2"/>
  <c r="Q55" i="2" s="1"/>
  <c r="R54" i="2"/>
  <c r="P54" i="2"/>
  <c r="O54" i="2"/>
  <c r="L54" i="2"/>
  <c r="M54" i="2" s="1"/>
  <c r="N54" i="2" s="1"/>
  <c r="J54" i="2"/>
  <c r="Q54" i="2" s="1"/>
  <c r="R53" i="2"/>
  <c r="P53" i="2"/>
  <c r="O53" i="2"/>
  <c r="L53" i="2"/>
  <c r="M53" i="2" s="1"/>
  <c r="N53" i="2" s="1"/>
  <c r="J53" i="2"/>
  <c r="Q53" i="2" s="1"/>
  <c r="R52" i="2"/>
  <c r="P52" i="2"/>
  <c r="O52" i="2"/>
  <c r="L52" i="2"/>
  <c r="M52" i="2" s="1"/>
  <c r="N52" i="2" s="1"/>
  <c r="J52" i="2"/>
  <c r="Q52" i="2" s="1"/>
  <c r="R51" i="2"/>
  <c r="P51" i="2"/>
  <c r="O51" i="2"/>
  <c r="L51" i="2"/>
  <c r="M51" i="2" s="1"/>
  <c r="N51" i="2" s="1"/>
  <c r="J51" i="2"/>
  <c r="Q51" i="2" s="1"/>
  <c r="R50" i="2"/>
  <c r="P50" i="2"/>
  <c r="O50" i="2"/>
  <c r="L50" i="2"/>
  <c r="M50" i="2" s="1"/>
  <c r="N50" i="2" s="1"/>
  <c r="J50" i="2"/>
  <c r="Q50" i="2" s="1"/>
  <c r="R49" i="2"/>
  <c r="P49" i="2"/>
  <c r="O49" i="2"/>
  <c r="L49" i="2"/>
  <c r="M49" i="2" s="1"/>
  <c r="N49" i="2" s="1"/>
  <c r="J49" i="2"/>
  <c r="Q49" i="2" s="1"/>
  <c r="R48" i="2"/>
  <c r="P48" i="2"/>
  <c r="O48" i="2"/>
  <c r="L48" i="2"/>
  <c r="M48" i="2" s="1"/>
  <c r="N48" i="2" s="1"/>
  <c r="J48" i="2"/>
  <c r="Q48" i="2" s="1"/>
  <c r="R47" i="2"/>
  <c r="P47" i="2"/>
  <c r="O47" i="2"/>
  <c r="L47" i="2"/>
  <c r="M47" i="2" s="1"/>
  <c r="N47" i="2" s="1"/>
  <c r="J47" i="2"/>
  <c r="Q47" i="2" s="1"/>
  <c r="R46" i="2"/>
  <c r="P46" i="2"/>
  <c r="O46" i="2"/>
  <c r="L46" i="2"/>
  <c r="M46" i="2" s="1"/>
  <c r="N46" i="2" s="1"/>
  <c r="J46" i="2"/>
  <c r="Q46" i="2" s="1"/>
  <c r="R45" i="2"/>
  <c r="P45" i="2"/>
  <c r="O45" i="2"/>
  <c r="L45" i="2"/>
  <c r="M45" i="2" s="1"/>
  <c r="N45" i="2" s="1"/>
  <c r="J45" i="2"/>
  <c r="Q45" i="2" s="1"/>
  <c r="R44" i="2"/>
  <c r="P44" i="2"/>
  <c r="O44" i="2"/>
  <c r="L44" i="2"/>
  <c r="M44" i="2" s="1"/>
  <c r="N44" i="2" s="1"/>
  <c r="J44" i="2"/>
  <c r="Q44" i="2" s="1"/>
  <c r="R43" i="2"/>
  <c r="P43" i="2"/>
  <c r="O43" i="2"/>
  <c r="L43" i="2"/>
  <c r="M43" i="2" s="1"/>
  <c r="N43" i="2" s="1"/>
  <c r="J43" i="2"/>
  <c r="Q43" i="2" s="1"/>
  <c r="R42" i="2"/>
  <c r="P42" i="2"/>
  <c r="O42" i="2"/>
  <c r="L42" i="2"/>
  <c r="M42" i="2" s="1"/>
  <c r="N42" i="2" s="1"/>
  <c r="J42" i="2"/>
  <c r="Q42" i="2" s="1"/>
  <c r="R41" i="2"/>
  <c r="P41" i="2"/>
  <c r="O41" i="2"/>
  <c r="L41" i="2"/>
  <c r="M41" i="2" s="1"/>
  <c r="N41" i="2" s="1"/>
  <c r="J41" i="2"/>
  <c r="Q41" i="2" s="1"/>
  <c r="R40" i="2"/>
  <c r="P40" i="2"/>
  <c r="O40" i="2"/>
  <c r="L40" i="2"/>
  <c r="M40" i="2" s="1"/>
  <c r="N40" i="2" s="1"/>
  <c r="J40" i="2"/>
  <c r="Q40" i="2" s="1"/>
  <c r="R39" i="2"/>
  <c r="P39" i="2"/>
  <c r="O39" i="2"/>
  <c r="L39" i="2"/>
  <c r="M39" i="2" s="1"/>
  <c r="N39" i="2" s="1"/>
  <c r="J39" i="2"/>
  <c r="Q39" i="2" s="1"/>
  <c r="R38" i="2"/>
  <c r="P38" i="2"/>
  <c r="O38" i="2"/>
  <c r="L38" i="2"/>
  <c r="M38" i="2" s="1"/>
  <c r="N38" i="2" s="1"/>
  <c r="J38" i="2"/>
  <c r="Q38" i="2" s="1"/>
  <c r="R37" i="2"/>
  <c r="P37" i="2"/>
  <c r="O37" i="2"/>
  <c r="L37" i="2"/>
  <c r="M37" i="2" s="1"/>
  <c r="N37" i="2" s="1"/>
  <c r="J37" i="2"/>
  <c r="Q37" i="2" s="1"/>
  <c r="R36" i="2"/>
  <c r="P36" i="2"/>
  <c r="O36" i="2"/>
  <c r="L36" i="2"/>
  <c r="M36" i="2" s="1"/>
  <c r="N36" i="2" s="1"/>
  <c r="J36" i="2"/>
  <c r="Q36" i="2" s="1"/>
  <c r="R35" i="2"/>
  <c r="P35" i="2"/>
  <c r="O35" i="2"/>
  <c r="L35" i="2"/>
  <c r="M35" i="2" s="1"/>
  <c r="N35" i="2" s="1"/>
  <c r="J35" i="2"/>
  <c r="Q35" i="2" s="1"/>
  <c r="R34" i="2"/>
  <c r="P34" i="2"/>
  <c r="O34" i="2"/>
  <c r="L34" i="2"/>
  <c r="M34" i="2" s="1"/>
  <c r="N34" i="2" s="1"/>
  <c r="J34" i="2"/>
  <c r="Q34" i="2" s="1"/>
  <c r="R33" i="2"/>
  <c r="P33" i="2"/>
  <c r="O33" i="2"/>
  <c r="L33" i="2"/>
  <c r="M33" i="2" s="1"/>
  <c r="N33" i="2" s="1"/>
  <c r="J33" i="2"/>
  <c r="Q33" i="2" s="1"/>
  <c r="R32" i="2"/>
  <c r="P32" i="2"/>
  <c r="O32" i="2"/>
  <c r="L32" i="2"/>
  <c r="M32" i="2" s="1"/>
  <c r="N32" i="2" s="1"/>
  <c r="J32" i="2"/>
  <c r="Q32" i="2" s="1"/>
  <c r="R31" i="2"/>
  <c r="P31" i="2"/>
  <c r="O31" i="2"/>
  <c r="L31" i="2"/>
  <c r="M31" i="2" s="1"/>
  <c r="N31" i="2" s="1"/>
  <c r="J31" i="2"/>
  <c r="Q31" i="2" s="1"/>
  <c r="R30" i="2"/>
  <c r="Q30" i="2"/>
  <c r="P30" i="2"/>
  <c r="O30" i="2"/>
  <c r="L30" i="2"/>
  <c r="M30" i="2" s="1"/>
  <c r="N30" i="2" s="1"/>
  <c r="J30" i="2"/>
  <c r="R29" i="2"/>
  <c r="P29" i="2"/>
  <c r="O29" i="2"/>
  <c r="L29" i="2"/>
  <c r="M29" i="2" s="1"/>
  <c r="N29" i="2" s="1"/>
  <c r="J29" i="2"/>
  <c r="Q29" i="2" s="1"/>
  <c r="R28" i="2"/>
  <c r="P28" i="2"/>
  <c r="O28" i="2"/>
  <c r="L28" i="2"/>
  <c r="M28" i="2" s="1"/>
  <c r="N28" i="2" s="1"/>
  <c r="J28" i="2"/>
  <c r="Q28" i="2" s="1"/>
  <c r="R27" i="2"/>
  <c r="P27" i="2"/>
  <c r="O27" i="2"/>
  <c r="L27" i="2"/>
  <c r="M27" i="2" s="1"/>
  <c r="N27" i="2" s="1"/>
  <c r="J27" i="2"/>
  <c r="Q27" i="2" s="1"/>
  <c r="R26" i="2"/>
  <c r="P26" i="2"/>
  <c r="O26" i="2"/>
  <c r="L26" i="2"/>
  <c r="M26" i="2" s="1"/>
  <c r="N26" i="2" s="1"/>
  <c r="J26" i="2"/>
  <c r="Q26" i="2" s="1"/>
  <c r="R25" i="2"/>
  <c r="P25" i="2"/>
  <c r="O25" i="2"/>
  <c r="L25" i="2"/>
  <c r="M25" i="2" s="1"/>
  <c r="N25" i="2" s="1"/>
  <c r="J25" i="2"/>
  <c r="Q25" i="2" s="1"/>
  <c r="R24" i="2"/>
  <c r="P24" i="2"/>
  <c r="O24" i="2"/>
  <c r="L24" i="2"/>
  <c r="M24" i="2" s="1"/>
  <c r="N24" i="2" s="1"/>
  <c r="J24" i="2"/>
  <c r="Q24" i="2" s="1"/>
  <c r="R23" i="2"/>
  <c r="P23" i="2"/>
  <c r="O23" i="2"/>
  <c r="L23" i="2"/>
  <c r="M23" i="2" s="1"/>
  <c r="N23" i="2" s="1"/>
  <c r="J23" i="2"/>
  <c r="Q23" i="2" s="1"/>
  <c r="T22" i="2"/>
  <c r="U22" i="2" s="1"/>
  <c r="V22" i="2" s="1"/>
  <c r="R22" i="2"/>
  <c r="P22" i="2"/>
  <c r="O22" i="2"/>
  <c r="L22" i="2"/>
  <c r="M22" i="2" s="1"/>
  <c r="N22" i="2" s="1"/>
  <c r="J22" i="2"/>
  <c r="Q22" i="2" s="1"/>
  <c r="R21" i="2"/>
  <c r="P21" i="2"/>
  <c r="O21" i="2"/>
  <c r="L21" i="2"/>
  <c r="M21" i="2" s="1"/>
  <c r="N21" i="2" s="1"/>
  <c r="J21" i="2"/>
  <c r="Q21" i="2" s="1"/>
  <c r="R20" i="2"/>
  <c r="P20" i="2"/>
  <c r="O20" i="2"/>
  <c r="L20" i="2"/>
  <c r="M20" i="2" s="1"/>
  <c r="N20" i="2" s="1"/>
  <c r="J20" i="2"/>
  <c r="Q20" i="2" s="1"/>
  <c r="R19" i="2"/>
  <c r="P19" i="2"/>
  <c r="O19" i="2"/>
  <c r="L19" i="2"/>
  <c r="M19" i="2" s="1"/>
  <c r="N19" i="2" s="1"/>
  <c r="J19" i="2"/>
  <c r="Q19" i="2" s="1"/>
  <c r="R18" i="2"/>
  <c r="P18" i="2"/>
  <c r="O18" i="2"/>
  <c r="L18" i="2"/>
  <c r="M18" i="2" s="1"/>
  <c r="N18" i="2" s="1"/>
  <c r="J18" i="2"/>
  <c r="Q18" i="2" s="1"/>
  <c r="R17" i="2"/>
  <c r="P17" i="2"/>
  <c r="O17" i="2"/>
  <c r="L17" i="2"/>
  <c r="M17" i="2" s="1"/>
  <c r="N17" i="2" s="1"/>
  <c r="J17" i="2"/>
  <c r="Q17" i="2" s="1"/>
  <c r="R16" i="2"/>
  <c r="P16" i="2"/>
  <c r="O16" i="2"/>
  <c r="L16" i="2"/>
  <c r="M16" i="2" s="1"/>
  <c r="N16" i="2" s="1"/>
  <c r="J16" i="2"/>
  <c r="Q16" i="2" s="1"/>
  <c r="R15" i="2"/>
  <c r="P15" i="2"/>
  <c r="O15" i="2"/>
  <c r="L15" i="2"/>
  <c r="M15" i="2" s="1"/>
  <c r="N15" i="2" s="1"/>
  <c r="J15" i="2"/>
  <c r="Q15" i="2" s="1"/>
  <c r="R14" i="2"/>
  <c r="P14" i="2"/>
  <c r="O14" i="2"/>
  <c r="L14" i="2"/>
  <c r="M14" i="2" s="1"/>
  <c r="N14" i="2" s="1"/>
  <c r="J14" i="2"/>
  <c r="Q14" i="2" s="1"/>
  <c r="R13" i="2"/>
  <c r="P13" i="2"/>
  <c r="O13" i="2"/>
  <c r="L13" i="2"/>
  <c r="M13" i="2" s="1"/>
  <c r="N13" i="2" s="1"/>
  <c r="J13" i="2"/>
  <c r="Q13" i="2" s="1"/>
  <c r="R12" i="2"/>
  <c r="P12" i="2"/>
  <c r="O12" i="2"/>
  <c r="L12" i="2"/>
  <c r="M12" i="2" s="1"/>
  <c r="N12" i="2" s="1"/>
  <c r="J12" i="2"/>
  <c r="Q12" i="2" s="1"/>
  <c r="R11" i="2"/>
  <c r="P11" i="2"/>
  <c r="O11" i="2"/>
  <c r="L11" i="2"/>
  <c r="M11" i="2" s="1"/>
  <c r="N11" i="2" s="1"/>
  <c r="J11" i="2"/>
  <c r="Q11" i="2" s="1"/>
  <c r="R10" i="2"/>
  <c r="P10" i="2"/>
  <c r="O10" i="2"/>
  <c r="L10" i="2"/>
  <c r="M10" i="2" s="1"/>
  <c r="N10" i="2" s="1"/>
  <c r="J10" i="2"/>
  <c r="Q10" i="2" s="1"/>
  <c r="R9" i="2"/>
  <c r="P9" i="2"/>
  <c r="O9" i="2"/>
  <c r="L9" i="2"/>
  <c r="M9" i="2" s="1"/>
  <c r="N9" i="2" s="1"/>
  <c r="J9" i="2"/>
  <c r="Q9" i="2" s="1"/>
  <c r="U8" i="2"/>
  <c r="U9" i="2" s="1"/>
  <c r="R8" i="2"/>
  <c r="P8" i="2"/>
  <c r="O8" i="2"/>
  <c r="L8" i="2"/>
  <c r="M8" i="2" s="1"/>
  <c r="N8" i="2" s="1"/>
  <c r="J8" i="2"/>
  <c r="Q8" i="2" s="1"/>
  <c r="U7" i="2"/>
  <c r="R7" i="2"/>
  <c r="P7" i="2"/>
  <c r="O7" i="2"/>
  <c r="L7" i="2"/>
  <c r="M7" i="2" s="1"/>
  <c r="N7" i="2" s="1"/>
  <c r="J7" i="2"/>
  <c r="Q7" i="2" s="1"/>
  <c r="U6" i="2"/>
  <c r="R6" i="2"/>
  <c r="P6" i="2"/>
  <c r="O6" i="2"/>
  <c r="L6" i="2"/>
  <c r="M6" i="2" s="1"/>
  <c r="N6" i="2" s="1"/>
  <c r="J6" i="2"/>
  <c r="Q6" i="2" s="1"/>
  <c r="V5" i="2"/>
  <c r="W5" i="2" s="1"/>
  <c r="U5" i="2"/>
  <c r="R5" i="2"/>
  <c r="P5" i="2"/>
  <c r="O5" i="2"/>
  <c r="L5" i="2"/>
  <c r="M5" i="2" s="1"/>
  <c r="N5" i="2" s="1"/>
  <c r="J5" i="2"/>
  <c r="Q5" i="2" s="1"/>
  <c r="R4" i="2"/>
  <c r="P4" i="2"/>
  <c r="O4" i="2"/>
  <c r="L4" i="2"/>
  <c r="M4" i="2" s="1"/>
  <c r="N4" i="2" s="1"/>
  <c r="J4" i="2"/>
  <c r="Q4" i="2" s="1"/>
  <c r="R3" i="2"/>
  <c r="P3" i="2"/>
  <c r="O3" i="2"/>
  <c r="L3" i="2"/>
  <c r="M3" i="2" s="1"/>
  <c r="N3" i="2" s="1"/>
  <c r="J3" i="2"/>
  <c r="Q3" i="2" s="1"/>
  <c r="R2" i="2"/>
  <c r="P2" i="2"/>
  <c r="O2" i="2"/>
  <c r="L2" i="2"/>
  <c r="J2" i="2"/>
  <c r="Q2" i="2" s="1"/>
  <c r="D35" i="3" l="1"/>
  <c r="C35" i="3"/>
  <c r="B35" i="3"/>
  <c r="A36" i="3"/>
  <c r="O34" i="3"/>
  <c r="N34" i="3"/>
  <c r="O33" i="3"/>
  <c r="N33" i="3"/>
  <c r="O32" i="3"/>
  <c r="N32" i="3"/>
  <c r="O31" i="3"/>
  <c r="N31" i="3"/>
  <c r="O30" i="3"/>
  <c r="N30" i="3"/>
  <c r="N29" i="3"/>
  <c r="O29" i="3"/>
  <c r="N28" i="3"/>
  <c r="O28" i="3"/>
  <c r="N27" i="3"/>
  <c r="O27" i="3"/>
  <c r="N26" i="3"/>
  <c r="O26" i="3"/>
  <c r="N25" i="3"/>
  <c r="O25" i="3"/>
  <c r="D30" i="3"/>
  <c r="E25" i="3"/>
  <c r="C30" i="3"/>
  <c r="L9" i="4"/>
  <c r="O24" i="3"/>
  <c r="N24" i="3"/>
  <c r="O23" i="3"/>
  <c r="N23" i="3"/>
  <c r="O22" i="3"/>
  <c r="N22" i="3"/>
  <c r="N21" i="3"/>
  <c r="O21" i="3"/>
  <c r="N20" i="3"/>
  <c r="O20" i="3"/>
  <c r="N19" i="3"/>
  <c r="O19" i="3"/>
  <c r="N18" i="3"/>
  <c r="O18" i="3"/>
  <c r="O17" i="3"/>
  <c r="N17" i="3"/>
  <c r="N16" i="3"/>
  <c r="O16" i="3"/>
  <c r="N15" i="3"/>
  <c r="O15" i="3"/>
  <c r="D20" i="3"/>
  <c r="E15" i="3"/>
  <c r="H9" i="4"/>
  <c r="C20" i="3"/>
  <c r="N14" i="3"/>
  <c r="O14" i="3"/>
  <c r="N13" i="3"/>
  <c r="O13" i="3"/>
  <c r="O12" i="3"/>
  <c r="N12" i="3"/>
  <c r="O11" i="3"/>
  <c r="N11" i="3"/>
  <c r="O10" i="3"/>
  <c r="N10" i="3"/>
  <c r="O9" i="3"/>
  <c r="N9" i="3"/>
  <c r="N8" i="3"/>
  <c r="O8" i="3"/>
  <c r="O7" i="3"/>
  <c r="N7" i="3"/>
  <c r="O6" i="3"/>
  <c r="N6" i="3"/>
  <c r="L35" i="3"/>
  <c r="O5" i="3"/>
  <c r="N5" i="3"/>
  <c r="B10" i="3"/>
  <c r="G5" i="3"/>
  <c r="G10" i="3" s="1"/>
  <c r="W22" i="2"/>
  <c r="X22" i="2"/>
  <c r="Y22" i="2" s="1"/>
  <c r="V7" i="2"/>
  <c r="W7" i="2" s="1"/>
  <c r="X7" i="2"/>
  <c r="U12" i="2"/>
  <c r="U16" i="2"/>
  <c r="V16" i="2" s="1"/>
  <c r="U21" i="2"/>
  <c r="V21" i="2" s="1"/>
  <c r="M2" i="2"/>
  <c r="U20" i="2"/>
  <c r="V20" i="2" s="1"/>
  <c r="U19" i="2"/>
  <c r="V19" i="2" s="1"/>
  <c r="U18" i="2"/>
  <c r="V18" i="2" s="1"/>
  <c r="U17" i="2"/>
  <c r="V17" i="2" s="1"/>
  <c r="D36" i="3" l="1"/>
  <c r="B36" i="3"/>
  <c r="C36" i="3"/>
  <c r="A37" i="3"/>
  <c r="K6" i="2"/>
  <c r="K28" i="2"/>
  <c r="K54" i="2"/>
  <c r="K58" i="2"/>
  <c r="K72" i="2"/>
  <c r="K81" i="2"/>
  <c r="K193" i="2"/>
  <c r="K164" i="2"/>
  <c r="K165" i="2"/>
  <c r="K190" i="2"/>
  <c r="K98" i="2"/>
  <c r="K185" i="2"/>
  <c r="K16" i="2"/>
  <c r="K59" i="2"/>
  <c r="K66" i="2"/>
  <c r="K130" i="2"/>
  <c r="K152" i="2"/>
  <c r="K171" i="2"/>
  <c r="K150" i="2"/>
  <c r="K181" i="2"/>
  <c r="K182" i="2"/>
  <c r="K30" i="2"/>
  <c r="K31" i="2"/>
  <c r="K39" i="2"/>
  <c r="K43" i="2"/>
  <c r="K84" i="2"/>
  <c r="K123" i="2"/>
  <c r="K198" i="2"/>
  <c r="K94" i="2"/>
  <c r="K102" i="2"/>
  <c r="K113" i="2"/>
  <c r="K131" i="2"/>
  <c r="K142" i="2"/>
  <c r="K173" i="2"/>
  <c r="K9" i="2"/>
  <c r="K21" i="2"/>
  <c r="K46" i="2"/>
  <c r="K64" i="2"/>
  <c r="K80" i="2"/>
  <c r="K121" i="2"/>
  <c r="K143" i="2"/>
  <c r="K144" i="2"/>
  <c r="K32" i="2"/>
  <c r="K48" i="2"/>
  <c r="K106" i="2"/>
  <c r="K110" i="2"/>
  <c r="K120" i="2"/>
  <c r="K124" i="2"/>
  <c r="K162" i="2"/>
  <c r="K168" i="2"/>
  <c r="K74" i="2"/>
  <c r="K76" i="2"/>
  <c r="K112" i="2"/>
  <c r="K127" i="2"/>
  <c r="K197" i="2"/>
  <c r="K88" i="2"/>
  <c r="K90" i="2"/>
  <c r="K189" i="2"/>
  <c r="K15" i="2"/>
  <c r="K25" i="2"/>
  <c r="K44" i="2"/>
  <c r="K161" i="2"/>
  <c r="K148" i="2"/>
  <c r="K145" i="2"/>
  <c r="K23" i="2"/>
  <c r="K33" i="2"/>
  <c r="K91" i="2"/>
  <c r="K186" i="2"/>
  <c r="K35" i="2"/>
  <c r="K45" i="2"/>
  <c r="K50" i="2"/>
  <c r="K62" i="2"/>
  <c r="K70" i="2"/>
  <c r="K99" i="2"/>
  <c r="K133" i="2"/>
  <c r="K97" i="2"/>
  <c r="K69" i="2"/>
  <c r="K73" i="2"/>
  <c r="K83" i="2"/>
  <c r="K2" i="2"/>
  <c r="K24" i="2"/>
  <c r="K38" i="2"/>
  <c r="K111" i="2"/>
  <c r="K125" i="2"/>
  <c r="K163" i="2"/>
  <c r="K135" i="2"/>
  <c r="K96" i="2"/>
  <c r="K178" i="2"/>
  <c r="K194" i="2"/>
  <c r="K179" i="2"/>
  <c r="K4" i="2"/>
  <c r="K47" i="2"/>
  <c r="K100" i="2"/>
  <c r="K153" i="2"/>
  <c r="K103" i="2"/>
  <c r="K201" i="2"/>
  <c r="K41" i="2"/>
  <c r="K157" i="2"/>
  <c r="K158" i="2"/>
  <c r="K166" i="2"/>
  <c r="K199" i="2"/>
  <c r="K36" i="2"/>
  <c r="K53" i="2"/>
  <c r="K86" i="2"/>
  <c r="K109" i="2"/>
  <c r="K138" i="2"/>
  <c r="K139" i="2"/>
  <c r="K156" i="2"/>
  <c r="K196" i="2"/>
  <c r="K183" i="2"/>
  <c r="K12" i="2"/>
  <c r="K13" i="2"/>
  <c r="K107" i="2"/>
  <c r="K134" i="2"/>
  <c r="K93" i="2"/>
  <c r="K177" i="2"/>
  <c r="K118" i="2"/>
  <c r="K155" i="2"/>
  <c r="K172" i="2"/>
  <c r="K3" i="2"/>
  <c r="K26" i="2"/>
  <c r="K37" i="2"/>
  <c r="K61" i="2"/>
  <c r="K75" i="2"/>
  <c r="K77" i="2"/>
  <c r="K117" i="2"/>
  <c r="K105" i="2"/>
  <c r="K149" i="2"/>
  <c r="K151" i="2"/>
  <c r="K49" i="2"/>
  <c r="K132" i="2"/>
  <c r="E20" i="3"/>
  <c r="H6" i="4" s="1"/>
  <c r="E6" i="4"/>
  <c r="B65" i="4"/>
  <c r="B6" i="4"/>
  <c r="O6" i="4"/>
  <c r="B63" i="4"/>
  <c r="B64" i="4"/>
  <c r="K200" i="2"/>
  <c r="K11" i="2"/>
  <c r="K27" i="2"/>
  <c r="K63" i="2"/>
  <c r="K154" i="2"/>
  <c r="K188" i="2"/>
  <c r="K10" i="2"/>
  <c r="K56" i="2"/>
  <c r="K115" i="2"/>
  <c r="K129" i="2"/>
  <c r="K174" i="2"/>
  <c r="K191" i="2"/>
  <c r="K104" i="2"/>
  <c r="K18" i="2"/>
  <c r="K40" i="2"/>
  <c r="K51" i="2"/>
  <c r="K71" i="2"/>
  <c r="K108" i="2"/>
  <c r="K119" i="2"/>
  <c r="K160" i="2"/>
  <c r="K195" i="2"/>
  <c r="K159" i="2"/>
  <c r="K192" i="2"/>
  <c r="K92" i="2"/>
  <c r="K187" i="2"/>
  <c r="K7" i="2"/>
  <c r="K14" i="2"/>
  <c r="K22" i="2"/>
  <c r="K29" i="2"/>
  <c r="K52" i="2"/>
  <c r="K82" i="2"/>
  <c r="K137" i="2"/>
  <c r="K20" i="2"/>
  <c r="K114" i="2"/>
  <c r="K5" i="2"/>
  <c r="K17" i="2"/>
  <c r="K42" i="2"/>
  <c r="K57" i="2"/>
  <c r="K78" i="2"/>
  <c r="K85" i="2"/>
  <c r="K169" i="2"/>
  <c r="K79" i="2"/>
  <c r="K126" i="2"/>
  <c r="K146" i="2"/>
  <c r="K89" i="2"/>
  <c r="K170" i="2"/>
  <c r="K180" i="2"/>
  <c r="K95" i="2"/>
  <c r="K184" i="2"/>
  <c r="K60" i="2"/>
  <c r="K65" i="2"/>
  <c r="K67" i="2"/>
  <c r="K101" i="2"/>
  <c r="K116" i="2"/>
  <c r="K87" i="2"/>
  <c r="K175" i="2"/>
  <c r="K167" i="2"/>
  <c r="K176" i="2"/>
  <c r="K55" i="2"/>
  <c r="K68" i="2"/>
  <c r="K128" i="2"/>
  <c r="K140" i="2"/>
  <c r="K8" i="2"/>
  <c r="K19" i="2"/>
  <c r="K34" i="2"/>
  <c r="K122" i="2"/>
  <c r="K136" i="2"/>
  <c r="K141" i="2"/>
  <c r="T21" i="3"/>
  <c r="R22" i="3"/>
  <c r="S22" i="3"/>
  <c r="T22" i="3"/>
  <c r="U22" i="3"/>
  <c r="R24" i="3"/>
  <c r="S24" i="3"/>
  <c r="T24" i="3"/>
  <c r="U24" i="3"/>
  <c r="U27" i="3"/>
  <c r="R23" i="3"/>
  <c r="S23" i="3"/>
  <c r="T23" i="3"/>
  <c r="U23" i="3"/>
  <c r="R26" i="3"/>
  <c r="S26" i="3"/>
  <c r="T26" i="3"/>
  <c r="U26" i="3"/>
  <c r="R27" i="3"/>
  <c r="S28" i="3"/>
  <c r="U28" i="3"/>
  <c r="U29" i="3"/>
  <c r="R25" i="3"/>
  <c r="T25" i="3"/>
  <c r="S27" i="3"/>
  <c r="T27" i="3"/>
  <c r="R28" i="3"/>
  <c r="T28" i="3"/>
  <c r="R29" i="3"/>
  <c r="S29" i="3"/>
  <c r="T29" i="3"/>
  <c r="S30" i="3"/>
  <c r="U30" i="3"/>
  <c r="K147" i="2"/>
  <c r="R21" i="3"/>
  <c r="S21" i="3"/>
  <c r="U21" i="3"/>
  <c r="S25" i="3"/>
  <c r="U25" i="3"/>
  <c r="R30" i="3"/>
  <c r="T30" i="3"/>
  <c r="W16" i="2"/>
  <c r="X16" i="2"/>
  <c r="Y16" i="2" s="1"/>
  <c r="W21" i="2"/>
  <c r="X21" i="2"/>
  <c r="Y21" i="2" s="1"/>
  <c r="N2" i="2"/>
  <c r="V8" i="2" s="1"/>
  <c r="V6" i="2"/>
  <c r="W6" i="2" s="1"/>
  <c r="X6" i="2" s="1"/>
  <c r="W20" i="2"/>
  <c r="X20" i="2"/>
  <c r="Y20" i="2" s="1"/>
  <c r="W19" i="2"/>
  <c r="X19" i="2"/>
  <c r="Y19" i="2" s="1"/>
  <c r="W18" i="2"/>
  <c r="X18" i="2"/>
  <c r="Y18" i="2" s="1"/>
  <c r="W17" i="2"/>
  <c r="X17" i="2"/>
  <c r="Y17" i="2" s="1"/>
  <c r="R5" i="3"/>
  <c r="E30" i="3"/>
  <c r="E36" i="3" l="1"/>
  <c r="F36" i="3"/>
  <c r="B37" i="3"/>
  <c r="D37" i="3"/>
  <c r="A38" i="3"/>
  <c r="C37" i="3"/>
  <c r="W8" i="2"/>
  <c r="V9" i="2"/>
  <c r="W9" i="2" s="1"/>
  <c r="Q14" i="3"/>
  <c r="Q10" i="3"/>
  <c r="Q15" i="3"/>
  <c r="Q11" i="3"/>
  <c r="Q7" i="3"/>
  <c r="Q13" i="3"/>
  <c r="Q9" i="3"/>
  <c r="R6" i="4"/>
  <c r="Q16" i="3"/>
  <c r="Q12" i="3"/>
  <c r="Q8" i="3"/>
  <c r="R9" i="4"/>
  <c r="B67" i="4"/>
  <c r="E37" i="3" l="1"/>
  <c r="F37" i="3"/>
  <c r="C38" i="3"/>
  <c r="B38" i="3"/>
  <c r="D38" i="3"/>
  <c r="A39" i="3"/>
  <c r="X8" i="2"/>
  <c r="B69" i="4"/>
  <c r="R14" i="3"/>
  <c r="S14" i="3"/>
  <c r="T14" i="3"/>
  <c r="U14" i="3"/>
  <c r="R10" i="3"/>
  <c r="S10" i="3"/>
  <c r="T10" i="3"/>
  <c r="U10" i="3"/>
  <c r="R15" i="3"/>
  <c r="S15" i="3"/>
  <c r="T15" i="3"/>
  <c r="U15" i="3"/>
  <c r="R11" i="3"/>
  <c r="S11" i="3"/>
  <c r="T11" i="3"/>
  <c r="U11" i="3"/>
  <c r="S7" i="3"/>
  <c r="U7" i="3"/>
  <c r="R7" i="3"/>
  <c r="T7" i="3"/>
  <c r="R13" i="3"/>
  <c r="S13" i="3"/>
  <c r="T13" i="3"/>
  <c r="U13" i="3"/>
  <c r="S9" i="3"/>
  <c r="T9" i="3"/>
  <c r="U9" i="3"/>
  <c r="R9" i="3"/>
  <c r="R16" i="3"/>
  <c r="S16" i="3"/>
  <c r="T16" i="3"/>
  <c r="U16" i="3"/>
  <c r="R12" i="3"/>
  <c r="S12" i="3"/>
  <c r="T12" i="3"/>
  <c r="U12" i="3"/>
  <c r="R8" i="3"/>
  <c r="S8" i="3"/>
  <c r="T8" i="3"/>
  <c r="U8" i="3"/>
  <c r="E38" i="3" l="1"/>
  <c r="F38" i="3"/>
  <c r="C39" i="3"/>
  <c r="B39" i="3"/>
  <c r="D39" i="3"/>
  <c r="A40" i="3"/>
  <c r="E39" i="3" l="1"/>
  <c r="F39" i="3"/>
  <c r="C40" i="3"/>
  <c r="A41" i="3"/>
  <c r="B40" i="3"/>
  <c r="D40" i="3"/>
  <c r="C41" i="3" l="1"/>
  <c r="A42" i="3"/>
  <c r="B41" i="3"/>
  <c r="D41" i="3"/>
  <c r="F40" i="3"/>
  <c r="E40" i="3"/>
  <c r="C42" i="3" l="1"/>
  <c r="A43" i="3"/>
  <c r="B42" i="3"/>
  <c r="D42" i="3"/>
  <c r="F41" i="3"/>
  <c r="E41" i="3"/>
  <c r="C43" i="3" l="1"/>
  <c r="A44" i="3"/>
  <c r="B43" i="3"/>
  <c r="D43" i="3"/>
  <c r="F42" i="3"/>
  <c r="E42" i="3"/>
  <c r="C44" i="3" l="1"/>
  <c r="A45" i="3"/>
  <c r="B44" i="3"/>
  <c r="D44" i="3"/>
  <c r="E43" i="3"/>
  <c r="F43" i="3"/>
  <c r="C45" i="3" l="1"/>
  <c r="D45" i="3"/>
  <c r="B45" i="3"/>
  <c r="A46" i="3"/>
  <c r="F44" i="3"/>
  <c r="E44" i="3"/>
  <c r="E45" i="3" l="1"/>
  <c r="F45" i="3"/>
  <c r="B46" i="3"/>
  <c r="C46" i="3"/>
  <c r="D46" i="3"/>
  <c r="A47" i="3"/>
  <c r="E46" i="3" l="1"/>
  <c r="F46" i="3"/>
  <c r="C47" i="3"/>
  <c r="C48" i="3" s="1"/>
  <c r="B47" i="3"/>
  <c r="D47" i="3"/>
  <c r="D48" i="3" s="1"/>
  <c r="B66" i="4" l="1"/>
  <c r="B48" i="3"/>
  <c r="F47" i="3"/>
  <c r="E9" i="4" s="1"/>
  <c r="E47" i="3"/>
</calcChain>
</file>

<file path=xl/sharedStrings.xml><?xml version="1.0" encoding="utf-8"?>
<sst xmlns="http://schemas.openxmlformats.org/spreadsheetml/2006/main" count="1093" uniqueCount="208">
  <si>
    <t>PR. 2 Analyzer</t>
  </si>
  <si>
    <t>Topics:
-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Main Tasks: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
Deliverable:
Complete the given worksheet by applying the required formulas in respective sheets.</t>
  </si>
  <si>
    <t>Customer_ID</t>
  </si>
  <si>
    <t>Customer_Name</t>
  </si>
  <si>
    <t>Region</t>
  </si>
  <si>
    <t>Product_Category</t>
  </si>
  <si>
    <t>Sales</t>
  </si>
  <si>
    <t>Quantity</t>
  </si>
  <si>
    <t>Discount</t>
  </si>
  <si>
    <t>Order_Date</t>
  </si>
  <si>
    <t>Profit</t>
  </si>
  <si>
    <t>Customer Total Purchase</t>
  </si>
  <si>
    <t>Top 10 Customer</t>
  </si>
  <si>
    <t>Gross Sales (pre-discount)</t>
  </si>
  <si>
    <t>Scenario Sales</t>
  </si>
  <si>
    <t>Scenario Profit</t>
  </si>
  <si>
    <t>Profit Margin %</t>
  </si>
  <si>
    <t>Order Month</t>
  </si>
  <si>
    <t>Customer Tier</t>
  </si>
  <si>
    <t>Report Timestamp</t>
  </si>
  <si>
    <t>WHAT-IF ANALYSIS – DISCOUNT vs TOTAL PROFIT</t>
  </si>
  <si>
    <t>JUMP TO (click)</t>
  </si>
  <si>
    <t>CUST019</t>
  </si>
  <si>
    <t>James Davis</t>
  </si>
  <si>
    <t>West</t>
  </si>
  <si>
    <t>Books</t>
  </si>
  <si>
    <t>CUST012</t>
  </si>
  <si>
    <t>Robert Anderson</t>
  </si>
  <si>
    <t>Clothing</t>
  </si>
  <si>
    <t>Scenario discount (enter)</t>
  </si>
  <si>
    <t>1. What-If Analysis</t>
  </si>
  <si>
    <t>CUST017</t>
  </si>
  <si>
    <t>James Taylor</t>
  </si>
  <si>
    <t>East</t>
  </si>
  <si>
    <t>Metric</t>
  </si>
  <si>
    <t>Current</t>
  </si>
  <si>
    <t>Scenario</t>
  </si>
  <si>
    <t>Change</t>
  </si>
  <si>
    <t>% Change</t>
  </si>
  <si>
    <t>2. Descriptive Statistics</t>
  </si>
  <si>
    <t>CUST005</t>
  </si>
  <si>
    <t>South</t>
  </si>
  <si>
    <t>Electronics</t>
  </si>
  <si>
    <t>Average discount</t>
  </si>
  <si>
    <t>3. Regression (ToolPak format)</t>
  </si>
  <si>
    <t>CUST030</t>
  </si>
  <si>
    <t>James Wilson</t>
  </si>
  <si>
    <t>North</t>
  </si>
  <si>
    <t>Total sales</t>
  </si>
  <si>
    <t>4. Residual Output</t>
  </si>
  <si>
    <t>CUST007</t>
  </si>
  <si>
    <t>Michael Anderson</t>
  </si>
  <si>
    <t>Furniture</t>
  </si>
  <si>
    <t>Total cost (held constant)</t>
  </si>
  <si>
    <t>5. Histogram</t>
  </si>
  <si>
    <t>CUST001</t>
  </si>
  <si>
    <t>Linda Wilson</t>
  </si>
  <si>
    <t>TOTAL PROFIT</t>
  </si>
  <si>
    <t>CUST026</t>
  </si>
  <si>
    <t>Mary Davis</t>
  </si>
  <si>
    <t>Profit margin</t>
  </si>
  <si>
    <t>CUST009</t>
  </si>
  <si>
    <t>Linda Jackson</t>
  </si>
  <si>
    <t>Central</t>
  </si>
  <si>
    <t>CUST010</t>
  </si>
  <si>
    <t>David Thomas</t>
  </si>
  <si>
    <t>Target total profit (enter)</t>
  </si>
  <si>
    <t>CUST014</t>
  </si>
  <si>
    <t>Emma Davis</t>
  </si>
  <si>
    <t>Office Supplies</t>
  </si>
  <si>
    <t>Discount needed to hit target (Goal Seek)</t>
  </si>
  <si>
    <t>SENSITIVITY TABLE – impact of changing the discount</t>
  </si>
  <si>
    <t>CUST023</t>
  </si>
  <si>
    <t>Total Sales</t>
  </si>
  <si>
    <t>Total Profit</t>
  </si>
  <si>
    <t>Profit Margin</t>
  </si>
  <si>
    <t>Δ Profit vs Current</t>
  </si>
  <si>
    <t>% Δ Profit</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</si>
  <si>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</si>
  <si>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</si>
  <si>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</si>
  <si>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</si>
  <si>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</si>
  <si>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</si>
  <si>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</si>
  <si>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</si>
  <si>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</si>
  <si>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</si>
  <si>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</si>
  <si>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</si>
  <si>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</si>
  <si>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</si>
  <si>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</si>
  <si>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</si>
  <si>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</si>
  <si>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</si>
  <si>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</si>
  <si>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</si>
  <si>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</si>
  <si>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DESCRIPTIVE STATISTICS – ToolPak-format table for Sales, Quantity, Discount, Profit (values computed to match Excel)</t>
  </si>
  <si>
    <t>Mean</t>
  </si>
  <si>
    <t>Standard Error</t>
  </si>
  <si>
    <t>Median</t>
  </si>
  <si>
    <t>Linda Davis</t>
  </si>
  <si>
    <t>Mode</t>
  </si>
  <si>
    <t>Standard Deviation</t>
  </si>
  <si>
    <t>CUST011</t>
  </si>
  <si>
    <t>Sample Variance</t>
  </si>
  <si>
    <t>Kurtosis</t>
  </si>
  <si>
    <t>Skewness</t>
  </si>
  <si>
    <t>Range</t>
  </si>
  <si>
    <t>Minimum</t>
  </si>
  <si>
    <t>Sarah Davis</t>
  </si>
  <si>
    <t>Maximum</t>
  </si>
  <si>
    <t>CUST002</t>
  </si>
  <si>
    <t>Sum</t>
  </si>
  <si>
    <t>Count</t>
  </si>
  <si>
    <t>Confidence Level(95.0%)</t>
  </si>
  <si>
    <t>Emma Taylor</t>
  </si>
  <si>
    <t>CUST003</t>
  </si>
  <si>
    <t>REGRESSION – ToolPak-format output: Profit (Y) vs Sales (X) (values computed to match Excel)</t>
  </si>
  <si>
    <t>RESIDUAL OUTPUT</t>
  </si>
  <si>
    <t>SUMMARY OUTPUT</t>
  </si>
  <si>
    <t>Observation</t>
  </si>
  <si>
    <t>Predicted Profit</t>
  </si>
  <si>
    <t>Residuals</t>
  </si>
  <si>
    <t>Standard Residuals</t>
  </si>
  <si>
    <t>Regression Statistics</t>
  </si>
  <si>
    <t>Multiple R</t>
  </si>
  <si>
    <t>R Square</t>
  </si>
  <si>
    <t>Adjusted R Square</t>
  </si>
  <si>
    <t>Observations</t>
  </si>
  <si>
    <t>CUST020</t>
  </si>
  <si>
    <t>ANOVA</t>
  </si>
  <si>
    <t>df</t>
  </si>
  <si>
    <t>SS</t>
  </si>
  <si>
    <t>MS</t>
  </si>
  <si>
    <t>F</t>
  </si>
  <si>
    <t>Significance F</t>
  </si>
  <si>
    <t>Regression</t>
  </si>
  <si>
    <t>Residual</t>
  </si>
  <si>
    <t>Linda Moore</t>
  </si>
  <si>
    <t>Total</t>
  </si>
  <si>
    <t>CUST024</t>
  </si>
  <si>
    <t>David Anderson</t>
  </si>
  <si>
    <t>Coefficients</t>
  </si>
  <si>
    <t>t Stat</t>
  </si>
  <si>
    <t>P-value</t>
  </si>
  <si>
    <t>Lower 95%</t>
  </si>
  <si>
    <t>Upper 95%</t>
  </si>
  <si>
    <t>Lower 95.0%</t>
  </si>
  <si>
    <t>Upper 95.0%</t>
  </si>
  <si>
    <t>Intercept</t>
  </si>
  <si>
    <t>CUST004</t>
  </si>
  <si>
    <t>PREDICTION (uses the ToolPak coefficients above)</t>
  </si>
  <si>
    <t>Sales amount (enter)</t>
  </si>
  <si>
    <t>Predicted Profit = Intercept + Slope × Sales</t>
  </si>
  <si>
    <t>HISTOGRAM – ToolPak-format output (Sales, bins 400 → 2,000)</t>
  </si>
  <si>
    <t>Bin</t>
  </si>
  <si>
    <t>Frequency</t>
  </si>
  <si>
    <t>Cumulative %</t>
  </si>
  <si>
    <t>CUST013</t>
  </si>
  <si>
    <t>CUST027</t>
  </si>
  <si>
    <t>CUST018</t>
  </si>
  <si>
    <t>More</t>
  </si>
  <si>
    <t>PIVOT TABLES – SALES ANALYSIS</t>
  </si>
  <si>
    <t>1. TOTAL SALES BY REGION × PRODUCT CATEGORY</t>
  </si>
  <si>
    <t>5. CUSTOMER ANALYSIS (SUMIFS group-by + INDEX/MATCH)</t>
  </si>
  <si>
    <t>6. HIGH-VALUE CUSTOMERS (INDEX / MATCH)</t>
  </si>
  <si>
    <t>Grand Total</t>
  </si>
  <si>
    <t>Customer ID</t>
  </si>
  <si>
    <t>Name (first recorded)</t>
  </si>
  <si>
    <t>Orders</t>
  </si>
  <si>
    <t>Rank</t>
  </si>
  <si>
    <t>Tier</t>
  </si>
  <si>
    <t>High-value threshold (75th percentile of Total Sales)</t>
  </si>
  <si>
    <t>Number of high-value customers</t>
  </si>
  <si>
    <t>2. REGION SUMMARY</t>
  </si>
  <si>
    <t>Avg Discount</t>
  </si>
  <si>
    <t>7. TOP 10 CUSTOMERS BY TOTAL PURCHASE</t>
  </si>
  <si>
    <t>3. PRODUCT CATEGORY SUMMARY</t>
  </si>
  <si>
    <t>Product Category</t>
  </si>
  <si>
    <t>4. MONTHLY SALES TREND (with ▲▼ arrows via custom number format)</t>
  </si>
  <si>
    <t>Month</t>
  </si>
  <si>
    <t>MoM Change (▲▼)</t>
  </si>
  <si>
    <t>MoM Growth % (▲▼)</t>
  </si>
  <si>
    <t>8. NATIVE EXCEL PIVOTTABLES (right-click → Refresh, or Data → Refresh All)</t>
  </si>
  <si>
    <t>PivotTable 1 – Sum of Sales by Region (rows) × Product Category (columns)</t>
  </si>
  <si>
    <t>Sum of Sales</t>
  </si>
  <si>
    <t>Column Labels</t>
  </si>
  <si>
    <t>Row Labels</t>
  </si>
  <si>
    <t>PivotTable 2 – Sum of Sales and Profit by Product Category</t>
  </si>
  <si>
    <t>Sum of Profit</t>
  </si>
  <si>
    <t>SALES ANALYTICS DASHBOARD</t>
  </si>
  <si>
    <t>TOTAL SALES</t>
  </si>
  <si>
    <t>PROFIT MARGIN</t>
  </si>
  <si>
    <t>TOTAL ORDERS</t>
  </si>
  <si>
    <t>AVG ORDER VALUE</t>
  </si>
  <si>
    <t>HIGH-VALUE CUSTOMERS</t>
  </si>
  <si>
    <t>AVG DISCOUNT</t>
  </si>
  <si>
    <t>LATEST MoM SALES GROWTH</t>
  </si>
  <si>
    <t>TOP REGION</t>
  </si>
  <si>
    <t>TOP PRODUCT CATEGORY</t>
  </si>
  <si>
    <t>PROFIT vs SALES R²</t>
  </si>
  <si>
    <t>TOP 10 CUSTOMER SHARE</t>
  </si>
  <si>
    <t>KEY INSIGHTS (Data Storytelling)</t>
  </si>
  <si>
    <t>Values</t>
  </si>
  <si>
    <t xml:space="preserve"> CHARTS – Bar · Pie ·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</si>
</sst>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5" formatCode="dd\-mmm\-yyyy"/>
    <numFmt numFmtId="166" formatCode="0.0%"/>
    <numFmt numFmtId="167" formatCode="mmm\-yyyy"/>
    <numFmt numFmtId="168" formatCode="yyyy\-mm\-dd\ hh:mm:ss"/>
    <numFmt numFmtId="169" formatCode="\▲\ #,##0;\▼\ #,##0;0"/>
    <numFmt numFmtId="170" formatCode="\▲\ 0.0%;\▼\ 0.0%;0.0%"/>
    <numFmt numFmtId="171" formatCode="#,##0.0000"/>
    <numFmt numFmtId="172" formatCode="0.000000"/>
    <numFmt numFmtId="173" formatCode="0.0000"/>
    <numFmt numFmtId="174" formatCode="0.000"/>
  </numFmts>
  <fonts count="14" x14ac:knownFonts="1">
    <font>
      <sz val="11"/>
      <color theme="1"/>
      <name val="Calibri"/>
      <scheme val="minor"/>
    </font>
    <font>
      <b/>
      <sz val="11"/>
      <color theme="1"/>
      <name val="Calibri"/>
      <scheme val="minor"/>
    </font>
    <font>
      <b/>
      <sz val="11"/>
      <color theme="1"/>
      <name val="Calibri"/>
    </font>
    <font>
      <sz val="11"/>
      <color theme="1"/>
      <name val="Calibri"/>
    </font>
    <font>
      <b/>
      <sz val="10"/>
      <color rgb="FFFFFFFF"/>
      <name val="Arial"/>
    </font>
    <font>
      <sz val="10"/>
      <name val="Arial"/>
    </font>
    <font>
      <sz val="10"/>
      <color rgb="FF0000FF"/>
      <name val="Arial"/>
    </font>
    <font>
      <b/>
      <sz val="10"/>
      <name val="Arial"/>
    </font>
    <font>
      <u/>
      <sz val="10"/>
      <color rgb="FF0563C1"/>
      <name val="Arial"/>
    </font>
    <font>
      <b/>
      <sz val="14"/>
      <color rgb="FF1F3864"/>
      <name val="Arial"/>
    </font>
    <font>
      <b/>
      <sz val="18"/>
      <color rgb="FFFFFFFF"/>
      <name val="Arial"/>
    </font>
    <font>
      <i/>
      <sz val="9"/>
      <color rgb="FF595959"/>
      <name val="Arial"/>
    </font>
    <font>
      <b/>
      <sz val="8"/>
      <color rgb="FF595959"/>
      <name val="Arial"/>
    </font>
    <font>
      <b/>
      <sz val="16"/>
      <color rgb="FF1F3864"/>
      <name val="Arial"/>
    </font>
  </fonts>
  <fills count="8">
    <fill>
      <patternFill patternType="none"/>
    </fill>
    <fill>
      <patternFill patternType="gray125"/>
    </fill>
    <fill>
      <patternFill patternType="solid">
        <fgColor rgb="FFFFF2CC"/>
        <bgColor rgb="FFFFF2CC"/>
      </patternFill>
    </fill>
    <fill>
      <patternFill patternType="solid">
        <fgColor rgb="FF1F3864"/>
      </patternFill>
    </fill>
    <fill>
      <patternFill patternType="solid">
        <fgColor rgb="FF2F5597"/>
      </patternFill>
    </fill>
    <fill>
      <patternFill patternType="solid">
        <fgColor rgb="FFF2F2F2"/>
      </patternFill>
    </fill>
    <fill>
      <patternFill patternType="solid">
        <fgColor rgb="FFFFF2CC"/>
      </patternFill>
    </fill>
    <fill>
      <patternFill patternType="solid">
        <fgColor rgb="FFEAF0FA"/>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diagonal/>
    </border>
    <border>
      <left/>
      <right/>
      <top style="thin">
        <color rgb="FFBFBFBF"/>
      </top>
      <bottom/>
      <diagonal/>
    </border>
    <border>
      <left/>
      <right style="thin">
        <color rgb="FFBFBFBF"/>
      </right>
      <top style="thin">
        <color rgb="FFBFBFBF"/>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91">
    <xf numFmtId="0" fontId="0" fillId="0" borderId="0" xfId="0"/>
    <xf numFmtId="0" fontId="1" fillId="0" borderId="0" xfId="0" applyFont="1"/>
    <xf numFmtId="0" fontId="2" fillId="2" borderId="1" xfId="0" applyFont="1" applyFill="1" applyBorder="1" applyAlignment="1">
      <alignment horizontal="center"/>
    </xf>
    <xf numFmtId="0" fontId="3" fillId="0" borderId="0" xfId="0" applyFont="1"/>
    <xf numFmtId="0" fontId="3" fillId="0" borderId="1" xfId="0" applyFont="1" applyBorder="1"/>
    <xf numFmtId="0" fontId="4"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3" borderId="3" xfId="0" applyFont="1" applyFill="1" applyBorder="1" applyAlignment="1">
      <alignment horizontal="left" vertical="center"/>
    </xf>
    <xf numFmtId="0" fontId="1" fillId="3" borderId="4" xfId="0" applyFont="1" applyFill="1" applyBorder="1"/>
    <xf numFmtId="0" fontId="1" fillId="3" borderId="5" xfId="0" applyFont="1" applyFill="1" applyBorder="1"/>
    <xf numFmtId="0" fontId="0" fillId="3" borderId="5" xfId="0" applyFill="1" applyBorder="1"/>
    <xf numFmtId="0" fontId="5" fillId="0" borderId="2" xfId="0" applyFont="1" applyBorder="1" applyAlignment="1">
      <alignment horizontal="center"/>
    </xf>
    <xf numFmtId="0" fontId="5" fillId="0" borderId="2" xfId="0" applyFont="1" applyBorder="1"/>
    <xf numFmtId="4" fontId="5" fillId="0" borderId="2" xfId="0" applyNumberFormat="1" applyFont="1" applyBorder="1"/>
    <xf numFmtId="1" fontId="5" fillId="0" borderId="2" xfId="0" applyNumberFormat="1" applyFont="1" applyBorder="1" applyAlignment="1">
      <alignment horizontal="center"/>
    </xf>
    <xf numFmtId="9" fontId="5" fillId="0" borderId="2" xfId="0" applyNumberFormat="1" applyFont="1" applyBorder="1" applyAlignment="1">
      <alignment horizontal="center"/>
    </xf>
    <xf numFmtId="165" fontId="5" fillId="0" borderId="2" xfId="0" applyNumberFormat="1" applyFont="1" applyBorder="1" applyAlignment="1">
      <alignment horizontal="center"/>
    </xf>
    <xf numFmtId="4" fontId="5" fillId="5" borderId="2" xfId="0" applyNumberFormat="1" applyFont="1" applyFill="1" applyBorder="1" applyAlignment="1">
      <alignment horizontal="right" vertical="center"/>
    </xf>
    <xf numFmtId="0" fontId="5" fillId="5" borderId="2" xfId="0" applyFont="1" applyFill="1" applyBorder="1" applyAlignment="1">
      <alignment horizontal="center" vertical="center"/>
    </xf>
    <xf numFmtId="166" fontId="5" fillId="5" borderId="2" xfId="0" applyNumberFormat="1" applyFont="1" applyFill="1" applyBorder="1" applyAlignment="1">
      <alignment horizontal="center" vertical="center"/>
    </xf>
    <xf numFmtId="167" fontId="5" fillId="5" borderId="2" xfId="0" applyNumberFormat="1" applyFont="1" applyFill="1" applyBorder="1" applyAlignment="1">
      <alignment horizontal="center" vertical="center"/>
    </xf>
    <xf numFmtId="168" fontId="5" fillId="5" borderId="2" xfId="0" applyNumberFormat="1" applyFont="1" applyFill="1" applyBorder="1" applyAlignment="1">
      <alignment horizontal="center" vertical="center"/>
    </xf>
    <xf numFmtId="0" fontId="5" fillId="0" borderId="2" xfId="0" applyFont="1" applyBorder="1" applyAlignment="1">
      <alignment horizontal="left" vertical="center"/>
    </xf>
    <xf numFmtId="9" fontId="6" fillId="6" borderId="2" xfId="0" applyNumberFormat="1" applyFont="1" applyFill="1" applyBorder="1" applyAlignment="1">
      <alignment horizontal="right"/>
    </xf>
    <xf numFmtId="0" fontId="8" fillId="0" borderId="0" xfId="0" applyFont="1"/>
    <xf numFmtId="166" fontId="5" fillId="5" borderId="2" xfId="0" applyNumberFormat="1" applyFont="1" applyFill="1" applyBorder="1" applyAlignment="1">
      <alignment horizontal="right" vertical="center"/>
    </xf>
    <xf numFmtId="3" fontId="5" fillId="5" borderId="2" xfId="0" applyNumberFormat="1" applyFont="1" applyFill="1" applyBorder="1" applyAlignment="1">
      <alignment horizontal="right" vertical="center"/>
    </xf>
    <xf numFmtId="169" fontId="5" fillId="5" borderId="2" xfId="0" applyNumberFormat="1" applyFont="1" applyFill="1" applyBorder="1" applyAlignment="1">
      <alignment horizontal="right" vertical="center"/>
    </xf>
    <xf numFmtId="170" fontId="5" fillId="5" borderId="2" xfId="0" applyNumberFormat="1" applyFont="1" applyFill="1" applyBorder="1" applyAlignment="1">
      <alignment horizontal="right" vertical="center"/>
    </xf>
    <xf numFmtId="0" fontId="7" fillId="0" borderId="2" xfId="0" applyFont="1" applyBorder="1" applyAlignment="1">
      <alignment horizontal="left" vertical="center"/>
    </xf>
    <xf numFmtId="3" fontId="7" fillId="5" borderId="2" xfId="0" applyNumberFormat="1" applyFont="1" applyFill="1" applyBorder="1" applyAlignment="1">
      <alignment horizontal="right" vertical="center"/>
    </xf>
    <xf numFmtId="169" fontId="7" fillId="5" borderId="2" xfId="0" applyNumberFormat="1" applyFont="1" applyFill="1" applyBorder="1" applyAlignment="1">
      <alignment horizontal="right" vertical="center"/>
    </xf>
    <xf numFmtId="170" fontId="7" fillId="5" borderId="2" xfId="0" applyNumberFormat="1" applyFont="1" applyFill="1" applyBorder="1" applyAlignment="1">
      <alignment horizontal="right" vertical="center"/>
    </xf>
    <xf numFmtId="3" fontId="6" fillId="6" borderId="2" xfId="0" applyNumberFormat="1" applyFont="1" applyFill="1" applyBorder="1" applyAlignment="1">
      <alignment horizontal="right"/>
    </xf>
    <xf numFmtId="166" fontId="7" fillId="5" borderId="2" xfId="0" applyNumberFormat="1" applyFont="1" applyFill="1" applyBorder="1" applyAlignment="1">
      <alignment horizontal="right" vertical="center"/>
    </xf>
    <xf numFmtId="0" fontId="0" fillId="3" borderId="4" xfId="0" applyFill="1" applyBorder="1"/>
    <xf numFmtId="9" fontId="6" fillId="6" borderId="2" xfId="0" applyNumberFormat="1" applyFont="1" applyFill="1" applyBorder="1" applyAlignment="1">
      <alignment horizontal="center"/>
    </xf>
    <xf numFmtId="170" fontId="5" fillId="5" borderId="2" xfId="0" applyNumberFormat="1" applyFont="1" applyFill="1" applyBorder="1" applyAlignment="1">
      <alignment horizontal="center" vertical="center"/>
    </xf>
    <xf numFmtId="166" fontId="7" fillId="5" borderId="2" xfId="0" applyNumberFormat="1" applyFont="1" applyFill="1" applyBorder="1" applyAlignment="1">
      <alignment horizontal="center" vertical="center"/>
    </xf>
    <xf numFmtId="171" fontId="5" fillId="0" borderId="2" xfId="0" applyNumberFormat="1" applyFont="1" applyBorder="1" applyAlignment="1">
      <alignment horizontal="right" vertical="center"/>
    </xf>
    <xf numFmtId="172" fontId="5" fillId="0" borderId="2" xfId="0" applyNumberFormat="1" applyFont="1" applyBorder="1" applyAlignment="1">
      <alignment horizontal="right" vertical="center"/>
    </xf>
    <xf numFmtId="171" fontId="5" fillId="0" borderId="2" xfId="0" applyNumberFormat="1" applyFont="1" applyBorder="1" applyAlignment="1">
      <alignment horizontal="right"/>
    </xf>
    <xf numFmtId="1" fontId="5" fillId="0" borderId="2" xfId="0" applyNumberFormat="1" applyFont="1" applyBorder="1" applyAlignment="1">
      <alignment horizontal="right" vertical="center"/>
    </xf>
    <xf numFmtId="0" fontId="7" fillId="0" borderId="0" xfId="0" applyFont="1"/>
    <xf numFmtId="1" fontId="5" fillId="0" borderId="2" xfId="0" applyNumberFormat="1" applyFont="1" applyBorder="1" applyAlignment="1">
      <alignment horizontal="center" vertical="center"/>
    </xf>
    <xf numFmtId="173" fontId="5" fillId="0" borderId="2" xfId="0" applyNumberFormat="1" applyFont="1" applyBorder="1" applyAlignment="1">
      <alignment horizontal="right" vertical="center"/>
    </xf>
    <xf numFmtId="11" fontId="5" fillId="0" borderId="2" xfId="0" applyNumberFormat="1" applyFont="1" applyBorder="1" applyAlignment="1">
      <alignment horizontal="right" vertical="center"/>
    </xf>
    <xf numFmtId="4" fontId="7" fillId="5" borderId="2" xfId="0" applyNumberFormat="1" applyFont="1" applyFill="1" applyBorder="1" applyAlignment="1">
      <alignment horizontal="right" vertical="center"/>
    </xf>
    <xf numFmtId="3" fontId="5" fillId="0" borderId="2" xfId="0" applyNumberFormat="1" applyFont="1" applyBorder="1" applyAlignment="1">
      <alignment horizontal="center" vertical="center"/>
    </xf>
    <xf numFmtId="10"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9" fillId="0" borderId="0" xfId="0" applyFont="1"/>
    <xf numFmtId="0" fontId="5" fillId="0" borderId="2" xfId="0" applyFont="1" applyBorder="1" applyAlignment="1">
      <alignment vertical="center" wrapText="1"/>
    </xf>
    <xf numFmtId="0" fontId="6" fillId="6" borderId="2" xfId="0" applyFont="1" applyFill="1" applyBorder="1" applyAlignment="1">
      <alignment horizontal="center"/>
    </xf>
    <xf numFmtId="0" fontId="5" fillId="5" borderId="2" xfId="0" applyFont="1" applyFill="1" applyBorder="1" applyAlignment="1">
      <alignment horizontal="left" vertical="center"/>
    </xf>
    <xf numFmtId="1" fontId="5" fillId="5" borderId="2" xfId="0" applyNumberFormat="1" applyFont="1" applyFill="1" applyBorder="1" applyAlignment="1">
      <alignment horizontal="center" vertical="center"/>
    </xf>
    <xf numFmtId="1" fontId="7" fillId="5" borderId="2" xfId="0" applyNumberFormat="1" applyFont="1" applyFill="1" applyBorder="1" applyAlignment="1">
      <alignment horizontal="right" vertical="center"/>
    </xf>
    <xf numFmtId="1" fontId="7" fillId="5" borderId="2" xfId="0" applyNumberFormat="1" applyFont="1" applyFill="1" applyBorder="1" applyAlignment="1">
      <alignment horizontal="center" vertical="center"/>
    </xf>
    <xf numFmtId="1" fontId="6" fillId="6" borderId="2" xfId="0" applyNumberFormat="1" applyFont="1" applyFill="1" applyBorder="1" applyAlignment="1">
      <alignment horizontal="center"/>
    </xf>
    <xf numFmtId="167" fontId="7" fillId="5" borderId="2" xfId="0" applyNumberFormat="1" applyFont="1" applyFill="1" applyBorder="1" applyAlignment="1">
      <alignment horizontal="center" vertical="center"/>
    </xf>
    <xf numFmtId="169" fontId="7" fillId="5" borderId="2" xfId="0" applyNumberFormat="1" applyFont="1" applyFill="1" applyBorder="1" applyAlignment="1">
      <alignment horizontal="center" vertical="center"/>
    </xf>
    <xf numFmtId="170" fontId="7" fillId="5" borderId="2" xfId="0" applyNumberFormat="1" applyFont="1" applyFill="1" applyBorder="1" applyAlignment="1">
      <alignment horizontal="center" vertical="center"/>
    </xf>
    <xf numFmtId="0" fontId="12" fillId="7" borderId="6" xfId="0" applyFont="1" applyFill="1" applyBorder="1" applyAlignment="1">
      <alignment horizontal="center" vertical="center"/>
    </xf>
    <xf numFmtId="0" fontId="0" fillId="7" borderId="7" xfId="0" applyFill="1" applyBorder="1"/>
    <xf numFmtId="0" fontId="0" fillId="7" borderId="8" xfId="0" applyFill="1" applyBorder="1"/>
    <xf numFmtId="170" fontId="13" fillId="7" borderId="9" xfId="0" applyNumberFormat="1" applyFont="1" applyFill="1" applyBorder="1" applyAlignment="1">
      <alignment horizontal="center" vertical="center"/>
    </xf>
    <xf numFmtId="0" fontId="0" fillId="7" borderId="10" xfId="0" applyFill="1" applyBorder="1"/>
    <xf numFmtId="0" fontId="0" fillId="7" borderId="11" xfId="0" applyFill="1" applyBorder="1"/>
    <xf numFmtId="0" fontId="5" fillId="0" borderId="10" xfId="0" applyFont="1" applyBorder="1" applyAlignment="1">
      <alignment vertical="center" wrapText="1" indent="1"/>
    </xf>
    <xf numFmtId="0" fontId="0" fillId="0" borderId="10" xfId="0" applyBorder="1"/>
    <xf numFmtId="3" fontId="13" fillId="7" borderId="9" xfId="0" applyNumberFormat="1" applyFont="1" applyFill="1" applyBorder="1" applyAlignment="1">
      <alignment horizontal="center" vertical="center"/>
    </xf>
    <xf numFmtId="166" fontId="13" fillId="7" borderId="9" xfId="0" applyNumberFormat="1" applyFont="1" applyFill="1" applyBorder="1" applyAlignment="1">
      <alignment horizontal="center" vertical="center"/>
    </xf>
    <xf numFmtId="0" fontId="13" fillId="7" borderId="9" xfId="0" applyFont="1" applyFill="1" applyBorder="1" applyAlignment="1">
      <alignment horizontal="center" vertical="center"/>
    </xf>
    <xf numFmtId="1" fontId="13" fillId="7" borderId="9" xfId="0" applyNumberFormat="1" applyFont="1" applyFill="1" applyBorder="1" applyAlignment="1">
      <alignment horizontal="center" vertical="center"/>
    </xf>
    <xf numFmtId="174" fontId="13" fillId="7" borderId="9"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3" fontId="0" fillId="0" borderId="0" xfId="0" applyNumberFormat="1"/>
    <xf numFmtId="0" fontId="0" fillId="0" borderId="12" xfId="0" applyBorder="1"/>
    <xf numFmtId="0" fontId="0" fillId="0" borderId="13" xfId="0" applyBorder="1"/>
    <xf numFmtId="0" fontId="0" fillId="0" borderId="14" xfId="0" applyBorder="1"/>
    <xf numFmtId="0" fontId="0" fillId="0" borderId="15" xfId="0" applyBorder="1"/>
    <xf numFmtId="0" fontId="10" fillId="3" borderId="0" xfId="0" applyFont="1" applyFill="1" applyBorder="1" applyAlignment="1">
      <alignment horizontal="left" vertical="center" indent="1"/>
    </xf>
    <xf numFmtId="0" fontId="0" fillId="0" borderId="0" xfId="0" applyBorder="1"/>
    <xf numFmtId="0" fontId="0" fillId="0" borderId="16" xfId="0" applyBorder="1"/>
    <xf numFmtId="0" fontId="11" fillId="0" borderId="0" xfId="0" applyFont="1" applyBorder="1" applyAlignment="1">
      <alignment horizontal="left" indent="1"/>
    </xf>
    <xf numFmtId="0" fontId="0" fillId="0" borderId="0" xfId="0" applyBorder="1"/>
    <xf numFmtId="0" fontId="4" fillId="4" borderId="0" xfId="0" applyFont="1" applyFill="1" applyBorder="1" applyAlignment="1">
      <alignment horizontal="left" indent="1"/>
    </xf>
    <xf numFmtId="0" fontId="0" fillId="0" borderId="17" xfId="0" applyBorder="1"/>
    <xf numFmtId="0" fontId="0" fillId="0" borderId="18" xfId="0" applyBorder="1"/>
    <xf numFmtId="0" fontId="0" fillId="0" borderId="19" xfId="0" applyBorder="1"/>
  </cellXfs>
  <cellStyles count="1">
    <cellStyle name="Normal" xfId="0" builtinId="0"/>
  </cellStyles>
  <dxfs count="13">
    <dxf>
      <font>
        <b/>
        <color rgb="FFC00000"/>
        <name val="Arial"/>
      </font>
    </dxf>
    <dxf>
      <font>
        <b/>
        <color rgb="FF00803C"/>
        <name val="Arial"/>
      </font>
    </dxf>
    <dxf>
      <font>
        <b/>
        <sz val="10"/>
        <color rgb="FF006100"/>
        <name val="Arial"/>
      </font>
    </dxf>
    <dxf>
      <font>
        <b/>
        <sz val="10"/>
        <color rgb="FF7F6000"/>
        <name val="Arial"/>
      </font>
      <fill>
        <patternFill patternType="solid">
          <fgColor rgb="FFFFD966"/>
        </patternFill>
      </fill>
    </dxf>
    <dxf>
      <font>
        <b/>
        <color rgb="FFC00000"/>
        <name val="Arial"/>
      </font>
    </dxf>
    <dxf>
      <font>
        <b/>
        <color rgb="FF00803C"/>
        <name val="Arial"/>
      </font>
    </dxf>
    <dxf>
      <font>
        <b/>
        <color rgb="FFC00000"/>
        <name val="Arial"/>
      </font>
    </dxf>
    <dxf>
      <font>
        <b/>
        <color rgb="FF00803C"/>
        <name val="Arial"/>
      </font>
    </dxf>
    <dxf>
      <font>
        <b/>
        <color rgb="FFC00000"/>
        <name val="Arial"/>
      </font>
    </dxf>
    <dxf>
      <font>
        <b/>
        <color rgb="FF00803C"/>
        <name val="Arial"/>
      </font>
    </dxf>
    <dxf>
      <fill>
        <patternFill patternType="solid">
          <fgColor rgb="FFFFF2CC"/>
        </patternFill>
      </fill>
    </dxf>
    <dxf>
      <font>
        <b/>
        <sz val="10"/>
        <color rgb="FF006100"/>
        <name val="Arial"/>
      </font>
      <fill>
        <patternFill patternType="solid">
          <fgColor rgb="FFC6EFCE"/>
        </patternFill>
      </fill>
    </dxf>
    <dxf>
      <font>
        <b/>
        <sz val="10"/>
        <color rgb="FF7F6000"/>
        <name val="Arial"/>
      </font>
      <fill>
        <patternFill patternType="solid">
          <fgColor rgb="FFFFD9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t>What-If: Total Profit vs Discount</a:t>
            </a:r>
          </a:p>
        </c:rich>
      </c:tx>
      <c:overlay val="1"/>
    </c:title>
    <c:autoTitleDeleted val="0"/>
    <c:plotArea>
      <c:layout/>
      <c:scatterChart>
        <c:scatterStyle val="lineMarker"/>
        <c:varyColors val="1"/>
        <c:ser>
          <c:idx val="0"/>
          <c:order val="0"/>
          <c:tx>
            <c:v>Total profit at each discount</c:v>
          </c:tx>
          <c:spPr>
            <a:ln w="28000">
              <a:solidFill>
                <a:srgbClr val="2F5597"/>
              </a:solidFill>
              <a:prstDash val="solid"/>
            </a:ln>
          </c:spPr>
          <c:marker>
            <c:symbol val="circle"/>
            <c:size val="7"/>
            <c:spPr>
              <a:ln>
                <a:prstDash val="solid"/>
              </a:ln>
            </c:spPr>
          </c:marker>
          <c:xVal>
            <c:numRef>
              <c:f>Dataset!$T$16:$T$21</c:f>
              <c:numCache>
                <c:formatCode>0%</c:formatCode>
                <c:ptCount val="6"/>
                <c:pt idx="0">
                  <c:v>0</c:v>
                </c:pt>
                <c:pt idx="1">
                  <c:v>0.05</c:v>
                </c:pt>
                <c:pt idx="2">
                  <c:v>0.1</c:v>
                </c:pt>
                <c:pt idx="3">
                  <c:v>0.15</c:v>
                </c:pt>
                <c:pt idx="4">
                  <c:v>0.2</c:v>
                </c:pt>
                <c:pt idx="5">
                  <c:v>0.25</c:v>
                </c:pt>
              </c:numCache>
            </c:numRef>
          </c:xVal>
          <c:yVal>
            <c:numRef>
              <c:f>Dataset!$V$16:$V$21</c:f>
              <c:numCache>
                <c:formatCode>#,##0</c:formatCode>
                <c:ptCount val="6"/>
                <c:pt idx="0">
                  <c:v>91096.510000000213</c:v>
                </c:pt>
                <c:pt idx="1">
                  <c:v>80195.147000000201</c:v>
                </c:pt>
                <c:pt idx="2">
                  <c:v>69293.784000000218</c:v>
                </c:pt>
                <c:pt idx="3">
                  <c:v>58392.421000000177</c:v>
                </c:pt>
                <c:pt idx="4">
                  <c:v>47491.058000000194</c:v>
                </c:pt>
                <c:pt idx="5">
                  <c:v>36589.695000000182</c:v>
                </c:pt>
              </c:numCache>
            </c:numRef>
          </c:yVal>
          <c:smooth val="1"/>
          <c:extLst>
            <c:ext xmlns:c16="http://schemas.microsoft.com/office/drawing/2014/chart" uri="{C3380CC4-5D6E-409C-BE32-E72D297353CC}">
              <c16:uniqueId val="{00000000-BA7F-42E0-8F59-E869C65E58F4}"/>
            </c:ext>
          </c:extLst>
        </c:ser>
        <c:ser>
          <c:idx val="1"/>
          <c:order val="1"/>
          <c:tx>
            <c:v>Selected scenario</c:v>
          </c:tx>
          <c:spPr>
            <a:ln>
              <a:noFill/>
              <a:prstDash val="solid"/>
            </a:ln>
          </c:spPr>
          <c:marker>
            <c:symbol val="diamond"/>
            <c:size val="12"/>
            <c:spPr>
              <a:solidFill>
                <a:srgbClr val="ED7D31"/>
              </a:solidFill>
              <a:ln>
                <a:prstDash val="solid"/>
              </a:ln>
            </c:spPr>
          </c:marker>
          <c:xVal>
            <c:numRef>
              <c:f>Dataset!$T$22</c:f>
              <c:numCache>
                <c:formatCode>0.0%</c:formatCode>
                <c:ptCount val="1"/>
                <c:pt idx="0">
                  <c:v>0.1</c:v>
                </c:pt>
              </c:numCache>
            </c:numRef>
          </c:xVal>
          <c:yVal>
            <c:numRef>
              <c:f>Dataset!$V$22</c:f>
              <c:numCache>
                <c:formatCode>#,##0</c:formatCode>
                <c:ptCount val="1"/>
                <c:pt idx="0">
                  <c:v>69293.784000000218</c:v>
                </c:pt>
              </c:numCache>
            </c:numRef>
          </c:yVal>
          <c:smooth val="1"/>
          <c:extLst>
            <c:ext xmlns:c16="http://schemas.microsoft.com/office/drawing/2014/chart" uri="{C3380CC4-5D6E-409C-BE32-E72D297353CC}">
              <c16:uniqueId val="{00000001-BA7F-42E0-8F59-E869C65E58F4}"/>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title>
          <c:tx>
            <c:rich>
              <a:bodyPr/>
              <a:lstStyle/>
              <a:p>
                <a:pPr>
                  <a:defRPr/>
                </a:pPr>
                <a:r>
                  <a:t>Discount</a:t>
                </a:r>
              </a:p>
            </c:rich>
          </c:tx>
          <c:overlay val="1"/>
        </c:title>
        <c:numFmt formatCode="0%" sourceLinked="0"/>
        <c:majorTickMark val="none"/>
        <c:minorTickMark val="none"/>
        <c:tickLblPos val="nextTo"/>
        <c:crossAx val="20"/>
        <c:crosses val="autoZero"/>
        <c:crossBetween val="midCat"/>
      </c:valAx>
      <c:valAx>
        <c:axId val="20"/>
        <c:scaling>
          <c:orientation val="minMax"/>
        </c:scaling>
        <c:delete val="0"/>
        <c:axPos val="l"/>
        <c:majorGridlines/>
        <c:title>
          <c:tx>
            <c:rich>
              <a:bodyPr/>
              <a:lstStyle/>
              <a:p>
                <a:pPr>
                  <a:defRPr/>
                </a:pPr>
                <a:r>
                  <a:t>Total Profit</a:t>
                </a:r>
              </a:p>
            </c:rich>
          </c:tx>
          <c:overlay val="1"/>
        </c:title>
        <c:numFmt formatCode="#,##0" sourceLinked="0"/>
        <c:majorTickMark val="none"/>
        <c:minorTickMark val="none"/>
        <c:tickLblPos val="nextTo"/>
        <c:crossAx val="10"/>
        <c:crosses val="autoZero"/>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Histogram – Sales per Order</a:t>
            </a:r>
          </a:p>
        </c:rich>
      </c:tx>
      <c:overlay val="1"/>
    </c:title>
    <c:autoTitleDeleted val="0"/>
    <c:plotArea>
      <c:layout/>
      <c:barChart>
        <c:barDir val="col"/>
        <c:grouping val="clustered"/>
        <c:varyColors val="1"/>
        <c:ser>
          <c:idx val="0"/>
          <c:order val="0"/>
          <c:tx>
            <c:strRef>
              <c:f>Dataset!$U$86</c:f>
              <c:strCache>
                <c:ptCount val="1"/>
                <c:pt idx="0">
                  <c:v>Frequency</c:v>
                </c:pt>
              </c:strCache>
            </c:strRef>
          </c:tx>
          <c:spPr>
            <a:solidFill>
              <a:srgbClr val="70AD47"/>
            </a:solidFill>
            <a:ln>
              <a:prstDash val="solid"/>
            </a:ln>
          </c:spPr>
          <c:invertIfNegative val="1"/>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Dataset!$T$87:$T$96</c:f>
              <c:strCache>
                <c:ptCount val="10"/>
                <c:pt idx="0">
                  <c:v>400</c:v>
                </c:pt>
                <c:pt idx="1">
                  <c:v>600</c:v>
                </c:pt>
                <c:pt idx="2">
                  <c:v>800</c:v>
                </c:pt>
                <c:pt idx="3">
                  <c:v>1,000</c:v>
                </c:pt>
                <c:pt idx="4">
                  <c:v>1,200</c:v>
                </c:pt>
                <c:pt idx="5">
                  <c:v>1,400</c:v>
                </c:pt>
                <c:pt idx="6">
                  <c:v>1,600</c:v>
                </c:pt>
                <c:pt idx="7">
                  <c:v>1,800</c:v>
                </c:pt>
                <c:pt idx="8">
                  <c:v>2,000</c:v>
                </c:pt>
                <c:pt idx="9">
                  <c:v>More</c:v>
                </c:pt>
              </c:strCache>
            </c:strRef>
          </c:cat>
          <c:val>
            <c:numRef>
              <c:f>Dataset!$U$87:$U$96</c:f>
              <c:numCache>
                <c:formatCode>0</c:formatCode>
                <c:ptCount val="10"/>
                <c:pt idx="0">
                  <c:v>6</c:v>
                </c:pt>
                <c:pt idx="1">
                  <c:v>16</c:v>
                </c:pt>
                <c:pt idx="2">
                  <c:v>33</c:v>
                </c:pt>
                <c:pt idx="3">
                  <c:v>51</c:v>
                </c:pt>
                <c:pt idx="4">
                  <c:v>50</c:v>
                </c:pt>
                <c:pt idx="5">
                  <c:v>26</c:v>
                </c:pt>
                <c:pt idx="6">
                  <c:v>14</c:v>
                </c:pt>
                <c:pt idx="7">
                  <c:v>3</c:v>
                </c:pt>
                <c:pt idx="8">
                  <c:v>1</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BB66-4BB6-B6DD-2426EE55EF41}"/>
            </c:ext>
          </c:extLst>
        </c:ser>
        <c:dLbls>
          <c:showLegendKey val="0"/>
          <c:showVal val="1"/>
          <c:showCatName val="0"/>
          <c:showSerName val="0"/>
          <c:showPercent val="0"/>
          <c:showBubbleSize val="1"/>
        </c:dLbls>
        <c:gapWidth val="10"/>
        <c:axId val="10"/>
        <c:axId val="100"/>
      </c:barChart>
      <c:catAx>
        <c:axId val="10"/>
        <c:scaling>
          <c:orientation val="minMax"/>
        </c:scaling>
        <c:delete val="0"/>
        <c:axPos val="b"/>
        <c:title>
          <c:tx>
            <c:rich>
              <a:bodyPr/>
              <a:lstStyle/>
              <a:p>
                <a:pPr>
                  <a:defRPr/>
                </a:pPr>
                <a:r>
                  <a:t>Bin (upper limit)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Frequency</a:t>
                </a:r>
              </a:p>
            </c:rich>
          </c:tx>
          <c:overlay val="1"/>
        </c:title>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BAR CHART –: Total Sales by Region</a:t>
            </a:r>
          </a:p>
        </c:rich>
      </c:tx>
      <c:overlay val="1"/>
    </c:title>
    <c:autoTitleDeleted val="0"/>
    <c:plotArea>
      <c:layout/>
      <c:barChart>
        <c:barDir val="col"/>
        <c:grouping val="clustered"/>
        <c:varyColors val="1"/>
        <c:ser>
          <c:idx val="0"/>
          <c:order val="0"/>
          <c:tx>
            <c:strRef>
              <c:f>'Pivot Table'!$C$14</c:f>
              <c:strCache>
                <c:ptCount val="1"/>
                <c:pt idx="0">
                  <c:v>Sales</c:v>
                </c:pt>
              </c:strCache>
            </c:strRef>
          </c:tx>
          <c:spPr>
            <a:solidFill>
              <a:srgbClr val="2F5597"/>
            </a:solidFill>
            <a:ln>
              <a:prstDash val="solid"/>
            </a:ln>
          </c:spPr>
          <c:invertIfNegative val="1"/>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'Pivot Table'!$A$15:$A$19</c:f>
              <c:strCache>
                <c:ptCount val="5"/>
                <c:pt idx="0">
                  <c:v>Central</c:v>
                </c:pt>
                <c:pt idx="1">
                  <c:v>East</c:v>
                </c:pt>
                <c:pt idx="2">
                  <c:v>North</c:v>
                </c:pt>
                <c:pt idx="3">
                  <c:v>South</c:v>
                </c:pt>
                <c:pt idx="4">
                  <c:v>West</c:v>
                </c:pt>
              </c:strCache>
            </c:strRef>
          </c:cat>
          <c:val>
            <c:numRef>
              <c:f>'Pivot Table'!$C$15:$C$19</c:f>
              <c:numCache>
                <c:formatCode>#,##0</c:formatCode>
                <c:ptCount val="5"/>
                <c:pt idx="0">
                  <c:v>43468.33</c:v>
                </c:pt>
                <c:pt idx="1">
                  <c:v>32441.64</c:v>
                </c:pt>
                <c:pt idx="2">
                  <c:v>34975.42</c:v>
                </c:pt>
                <c:pt idx="3">
                  <c:v>40248.79</c:v>
                </c:pt>
                <c:pt idx="4">
                  <c:v>44083.58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9E1-4258-930C-E405D2458049}"/>
            </c:ext>
          </c:extLst>
        </c:ser>
        <c:dLbls>
          <c:showLegendKey val="0"/>
          <c:showVal val="1"/>
          <c:showCatName val="0"/>
          <c:showSerName val="0"/>
          <c:showPercent val="0"/>
          <c:showBubbleSize val="1"/>
        </c:dLbls>
        <c:gapWidth val="150"/>
        <c:axId val="10"/>
        <c:axId val="100"/>
      </c:barChart>
      <c:catAx>
        <c:axId val="10"/>
        <c:scaling>
          <c:orientation val="minMax"/>
        </c:scaling>
        <c:delete val="0"/>
        <c:axPos val="b"/>
        <c:title>
          <c:tx>
            <c:rich>
              <a:bodyPr/>
              <a:lstStyle/>
              <a:p>
                <a:pPr>
                  <a:defRPr/>
                </a:pPr>
                <a:r>
                  <a:rPr lang="en-IN"/>
                  <a:t>Region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title>
          <c:tx>
            <c:rich>
              <a:bodyPr/>
              <a:lstStyle/>
              <a:p>
                <a:pPr>
                  <a:defRPr/>
                </a:pPr>
                <a:r>
                  <a:rPr lang="en-IN"/>
                  <a:t>Total Sales</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PIE CHART –: Sales Share by Product Category</a:t>
            </a:r>
          </a:p>
        </c:rich>
      </c:tx>
      <c:overlay val="1"/>
    </c:title>
    <c:autoTitleDeleted val="0"/>
    <c:plotArea>
      <c:layout/>
      <c:pieChart>
        <c:varyColors val="1"/>
        <c:ser>
          <c:idx val="0"/>
          <c:order val="0"/>
          <c:tx>
            <c:strRef>
              <c:f>'Pivot Table'!$C$24</c:f>
              <c:strCache>
                <c:ptCount val="1"/>
                <c:pt idx="0">
                  <c:v>Sales</c:v>
                </c:pt>
              </c:strCache>
            </c:strRef>
          </c:tx>
          <c:spPr>
            <a:ln>
              <a:prstDash val="solid"/>
            </a:ln>
          </c:spPr>
          <c:dPt>
            <c:idx val="0"/>
            <c:bubble3D val="0"/>
            <c:spPr>
              <a:solidFill>
                <a:srgbClr val="2F5597"/>
              </a:solidFill>
              <a:ln>
                <a:prstDash val="solid"/>
              </a:ln>
            </c:spPr>
            <c:extLst>
              <c:ext xmlns:c16="http://schemas.microsoft.com/office/drawing/2014/chart" uri="{C3380CC4-5D6E-409C-BE32-E72D297353CC}">
                <c16:uniqueId val="{00000001-4E4D-4C9B-A744-1D343E1E1535}"/>
              </c:ext>
            </c:extLst>
          </c:dPt>
          <c:dPt>
            <c:idx val="1"/>
            <c:bubble3D val="0"/>
            <c:spPr>
              <a:solidFill>
                <a:srgbClr val="ED7D31"/>
              </a:solidFill>
              <a:ln>
                <a:prstDash val="solid"/>
              </a:ln>
            </c:spPr>
            <c:extLst>
              <c:ext xmlns:c16="http://schemas.microsoft.com/office/drawing/2014/chart" uri="{C3380CC4-5D6E-409C-BE32-E72D297353CC}">
                <c16:uniqueId val="{00000003-4E4D-4C9B-A744-1D343E1E1535}"/>
              </c:ext>
            </c:extLst>
          </c:dPt>
          <c:dPt>
            <c:idx val="2"/>
            <c:bubble3D val="0"/>
            <c:spPr>
              <a:solidFill>
                <a:srgbClr val="70AD47"/>
              </a:solidFill>
              <a:ln>
                <a:prstDash val="solid"/>
              </a:ln>
            </c:spPr>
            <c:extLst>
              <c:ext xmlns:c16="http://schemas.microsoft.com/office/drawing/2014/chart" uri="{C3380CC4-5D6E-409C-BE32-E72D297353CC}">
                <c16:uniqueId val="{00000005-4E4D-4C9B-A744-1D343E1E1535}"/>
              </c:ext>
            </c:extLst>
          </c:dPt>
          <c:dPt>
            <c:idx val="3"/>
            <c:bubble3D val="0"/>
            <c:spPr>
              <a:solidFill>
                <a:srgbClr val="FFC000"/>
              </a:solidFill>
              <a:ln>
                <a:prstDash val="solid"/>
              </a:ln>
            </c:spPr>
            <c:extLst>
              <c:ext xmlns:c16="http://schemas.microsoft.com/office/drawing/2014/chart" uri="{C3380CC4-5D6E-409C-BE32-E72D297353CC}">
                <c16:uniqueId val="{00000007-4E4D-4C9B-A744-1D343E1E1535}"/>
              </c:ext>
            </c:extLst>
          </c:dPt>
          <c:dPt>
            <c:idx val="4"/>
            <c:bubble3D val="0"/>
            <c:spPr>
              <a:solidFill>
                <a:srgbClr val="7F7F7F"/>
              </a:solidFill>
              <a:ln>
                <a:prstDash val="solid"/>
              </a:ln>
            </c:spPr>
            <c:extLst>
              <c:ext xmlns:c16="http://schemas.microsoft.com/office/drawing/2014/chart" uri="{C3380CC4-5D6E-409C-BE32-E72D297353CC}">
                <c16:uniqueId val="{00000009-4E4D-4C9B-A744-1D343E1E1535}"/>
              </c:ext>
            </c:extLst>
          </c:dPt>
          <c:dLbls>
            <c:spPr>
              <a:noFill/>
              <a:ln>
                <a:noFill/>
              </a:ln>
              <a:effectLst/>
            </c:spPr>
            <c:showLegendKey val="0"/>
            <c:showVal val="0"/>
            <c:showCatName val="1"/>
            <c:showSerName val="0"/>
            <c:showPercent val="1"/>
            <c:showBubbleSize val="1"/>
            <c:showLeaderLines val="1"/>
            <c:extLst>
              <c:ext xmlns:c15="http://schemas.microsoft.com/office/drawing/2012/chart" uri="{CE6537A1-D6FC-4f65-9D91-7224C49458BB}"/>
            </c:extLst>
          </c:dLbls>
          <c:cat>
            <c:strRef>
              <c:f>'Pivot Table'!$A$25:$A$29</c:f>
              <c:strCache>
                <c:ptCount val="5"/>
                <c:pt idx="0">
                  <c:v>Books</c:v>
                </c:pt>
                <c:pt idx="1">
                  <c:v>Clothing</c:v>
                </c:pt>
                <c:pt idx="2">
                  <c:v>Electronics</c:v>
                </c:pt>
                <c:pt idx="3">
                  <c:v>Furniture</c:v>
                </c:pt>
                <c:pt idx="4">
                  <c:v>Office Supplies</c:v>
                </c:pt>
              </c:strCache>
            </c:strRef>
          </c:cat>
          <c:val>
            <c:numRef>
              <c:f>'Pivot Table'!$C$25:$C$29</c:f>
              <c:numCache>
                <c:formatCode>#,##0</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4E4D-4C9B-A744-1D343E1E1535}"/>
            </c:ext>
          </c:extLst>
        </c:ser>
        <c:dLbls>
          <c:showLegendKey val="0"/>
          <c:showVal val="0"/>
          <c:showCatName val="1"/>
          <c:showSerName val="0"/>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LINE CHART – KPI: Monthly Sales &amp; Profit Trend</a:t>
            </a:r>
          </a:p>
        </c:rich>
      </c:tx>
      <c:overlay val="1"/>
    </c:title>
    <c:autoTitleDeleted val="0"/>
    <c:plotArea>
      <c:layout/>
      <c:lineChart>
        <c:grouping val="standard"/>
        <c:varyColors val="1"/>
        <c:ser>
          <c:idx val="0"/>
          <c:order val="0"/>
          <c:tx>
            <c:strRef>
              <c:f>'Pivot Table'!$B$34</c:f>
              <c:strCache>
                <c:ptCount val="1"/>
                <c:pt idx="0">
                  <c:v>Sales</c:v>
                </c:pt>
              </c:strCache>
            </c:strRef>
          </c:tx>
          <c:spPr>
            <a:ln w="28000">
              <a:solidFill>
                <a:srgbClr val="2F5597"/>
              </a:solidFill>
              <a:prstDash val="solid"/>
            </a:ln>
          </c:spPr>
          <c:marker>
            <c:symbol val="circle"/>
            <c:size val="5"/>
            <c:spPr>
              <a:ln>
                <a:prstDash val="solid"/>
              </a:ln>
            </c:spPr>
          </c:marker>
          <c:cat>
            <c:numRef>
              <c:f>'Pivot Table'!$A$35:$A$47</c:f>
              <c:numCache>
                <c:formatCode>mmm\-yyyy</c:formatCode>
                <c:ptCount val="13"/>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numCache>
            </c:numRef>
          </c:cat>
          <c:val>
            <c:numRef>
              <c:f>'Pivot Table'!$B$35:$B$47</c:f>
              <c:numCache>
                <c:formatCode>#,##0</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CFE3-43BE-AFE3-B4447FCC9464}"/>
            </c:ext>
          </c:extLst>
        </c:ser>
        <c:ser>
          <c:idx val="1"/>
          <c:order val="1"/>
          <c:tx>
            <c:strRef>
              <c:f>'Pivot Table'!$C$34</c:f>
              <c:strCache>
                <c:ptCount val="1"/>
                <c:pt idx="0">
                  <c:v>Profit</c:v>
                </c:pt>
              </c:strCache>
            </c:strRef>
          </c:tx>
          <c:spPr>
            <a:ln w="28000">
              <a:solidFill>
                <a:srgbClr val="70AD47"/>
              </a:solidFill>
              <a:prstDash val="solid"/>
            </a:ln>
          </c:spPr>
          <c:marker>
            <c:symbol val="circle"/>
            <c:size val="5"/>
            <c:spPr>
              <a:ln>
                <a:prstDash val="solid"/>
              </a:ln>
            </c:spPr>
          </c:marker>
          <c:cat>
            <c:numRef>
              <c:f>'Pivot Table'!$A$35:$A$47</c:f>
              <c:numCache>
                <c:formatCode>mmm\-yyyy</c:formatCode>
                <c:ptCount val="13"/>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numCache>
            </c:numRef>
          </c:cat>
          <c:val>
            <c:numRef>
              <c:f>'Pivot Table'!$C$35:$C$47</c:f>
              <c:numCache>
                <c:formatCode>#,##0</c:formatCode>
                <c:ptCount val="13"/>
                <c:pt idx="0">
                  <c:v>6244.01</c:v>
                </c:pt>
                <c:pt idx="1">
                  <c:v>6121.3499999999995</c:v>
                </c:pt>
                <c:pt idx="2">
                  <c:v>6918</c:v>
                </c:pt>
                <c:pt idx="3">
                  <c:v>3743.85</c:v>
                </c:pt>
                <c:pt idx="4">
                  <c:v>3302.84</c:v>
                </c:pt>
                <c:pt idx="5">
                  <c:v>7457.5199999999995</c:v>
                </c:pt>
                <c:pt idx="6">
                  <c:v>4861.7</c:v>
                </c:pt>
                <c:pt idx="7">
                  <c:v>6814.8799999999992</c:v>
                </c:pt>
                <c:pt idx="8">
                  <c:v>3549.99</c:v>
                </c:pt>
                <c:pt idx="9">
                  <c:v>5763.4</c:v>
                </c:pt>
                <c:pt idx="10">
                  <c:v>5039.2299999999996</c:v>
                </c:pt>
                <c:pt idx="11">
                  <c:v>7071.39</c:v>
                </c:pt>
                <c:pt idx="12">
                  <c:v>1398.85</c:v>
                </c:pt>
              </c:numCache>
            </c:numRef>
          </c:val>
          <c:smooth val="0"/>
          <c:extLst>
            <c:ext xmlns:c16="http://schemas.microsoft.com/office/drawing/2014/chart" uri="{C3380CC4-5D6E-409C-BE32-E72D297353CC}">
              <c16:uniqueId val="{00000001-CFE3-43BE-AFE3-B4447FCC9464}"/>
            </c:ext>
          </c:extLst>
        </c:ser>
        <c:dLbls>
          <c:showLegendKey val="0"/>
          <c:showVal val="0"/>
          <c:showCatName val="0"/>
          <c:showSerName val="0"/>
          <c:showPercent val="0"/>
          <c:showBubbleSize val="0"/>
        </c:dLbls>
        <c:marker val="1"/>
        <c:smooth val="0"/>
        <c:axId val="500"/>
        <c:axId val="100"/>
      </c:lineChart>
      <c:dateAx>
        <c:axId val="500"/>
        <c:scaling>
          <c:orientation val="minMax"/>
        </c:scaling>
        <c:delete val="0"/>
        <c:axPos val="b"/>
        <c:title>
          <c:tx>
            <c:rich>
              <a:bodyPr/>
              <a:lstStyle/>
              <a:p>
                <a:pPr>
                  <a:defRPr/>
                </a:pPr>
                <a:r>
                  <a:rPr lang="en-IN"/>
                  <a:t>Month</a:t>
                </a:r>
              </a:p>
            </c:rich>
          </c:tx>
          <c:overlay val="1"/>
        </c:title>
        <c:numFmt formatCode="mmm\-yy" sourceLinked="0"/>
        <c:majorTickMark val="none"/>
        <c:minorTickMark val="none"/>
        <c:tickLblPos val="nextTo"/>
        <c:crossAx val="100"/>
        <c:crosses val="autoZero"/>
        <c:auto val="1"/>
        <c:lblOffset val="100"/>
        <c:baseTimeUnit val="months"/>
        <c:majorTimeUnit val="months"/>
      </c:dateAx>
      <c:valAx>
        <c:axId val="100"/>
        <c:scaling>
          <c:orientation val="minMax"/>
        </c:scaling>
        <c:delete val="0"/>
        <c:axPos val="l"/>
        <c:majorGridlines/>
        <c:title>
          <c:tx>
            <c:rich>
              <a:bodyPr/>
              <a:lstStyle/>
              <a:p>
                <a:pPr>
                  <a:defRPr/>
                </a:pPr>
                <a:r>
                  <a:rPr lang="en-IN"/>
                  <a:t>Amount</a:t>
                </a:r>
              </a:p>
            </c:rich>
          </c:tx>
          <c:overlay val="1"/>
        </c:title>
        <c:numFmt formatCode="#,##0" sourceLinked="0"/>
        <c:majorTickMark val="none"/>
        <c:minorTickMark val="none"/>
        <c:tickLblPos val="nextTo"/>
        <c:crossAx val="500"/>
        <c:crosses val="autoZero"/>
        <c:crossBetween val="between"/>
      </c:valAx>
    </c:plotArea>
    <c:legend>
      <c:legendPos val="b"/>
      <c:layout>
        <c:manualLayout>
          <c:xMode val="edge"/>
          <c:yMode val="edge"/>
          <c:x val="0.3772610770279482"/>
          <c:y val="0.92628068187472212"/>
          <c:w val="0.23682055214723927"/>
          <c:h val="7.3719318125277863E-2"/>
        </c:manualLayout>
      </c:layout>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overlay val="0"/>
    </c:title>
    <c:autoTitleDeleted val="0"/>
    <c:plotArea>
      <c:layout/>
      <c:barChart>
        <c:barDir val="bar"/>
        <c:grouping val="clustered"/>
        <c:varyColors val="1"/>
        <c:ser>
          <c:idx val="0"/>
          <c:order val="0"/>
          <c:tx>
            <c:strRef>
              <c:f>'Pivot Table'!$T$20</c:f>
              <c:strCache>
                <c:ptCount val="1"/>
                <c:pt idx="0">
                  <c:v>Total Sales</c:v>
                </c:pt>
              </c:strCache>
            </c:strRef>
          </c:tx>
          <c:spPr>
            <a:solidFill>
              <a:srgbClr val="ED7D31"/>
            </a:solidFill>
            <a:ln>
              <a:prstDash val="solid"/>
            </a:ln>
          </c:spPr>
          <c:invertIfNegative val="1"/>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'Pivot Table'!$R$21:$R$30</c:f>
              <c:strCache>
                <c:ptCount val="10"/>
                <c:pt idx="0">
                  <c:v>CUST015</c:v>
                </c:pt>
                <c:pt idx="1">
                  <c:v>CUST028</c:v>
                </c:pt>
                <c:pt idx="2">
                  <c:v>CUST007</c:v>
                </c:pt>
                <c:pt idx="3">
                  <c:v>CUST008</c:v>
                </c:pt>
                <c:pt idx="4">
                  <c:v>CUST026</c:v>
                </c:pt>
                <c:pt idx="5">
                  <c:v>CUST021</c:v>
                </c:pt>
                <c:pt idx="6">
                  <c:v>CUST003</c:v>
                </c:pt>
                <c:pt idx="7">
                  <c:v>CUST012</c:v>
                </c:pt>
                <c:pt idx="8">
                  <c:v>CUST030</c:v>
                </c:pt>
                <c:pt idx="9">
                  <c:v>CUST004</c:v>
                </c:pt>
              </c:strCache>
            </c:strRef>
          </c:cat>
          <c:val>
            <c:numRef>
              <c:f>'Pivot Table'!$T$21:$T$30</c:f>
              <c:numCache>
                <c:formatCode>#,##0</c:formatCode>
                <c:ptCount val="10"/>
                <c:pt idx="0">
                  <c:v>11611.060000000001</c:v>
                </c:pt>
                <c:pt idx="1">
                  <c:v>10293.870000000001</c:v>
                </c:pt>
                <c:pt idx="2">
                  <c:v>9941.8799999999992</c:v>
                </c:pt>
                <c:pt idx="3">
                  <c:v>9760.7999999999993</c:v>
                </c:pt>
                <c:pt idx="4">
                  <c:v>9371.81</c:v>
                </c:pt>
                <c:pt idx="5">
                  <c:v>8740.18</c:v>
                </c:pt>
                <c:pt idx="6">
                  <c:v>8490.18</c:v>
                </c:pt>
                <c:pt idx="7">
                  <c:v>8339</c:v>
                </c:pt>
                <c:pt idx="8">
                  <c:v>7928.71</c:v>
                </c:pt>
                <c:pt idx="9">
                  <c:v>7813.59</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DBA-4243-9DF3-5101EEEA657B}"/>
            </c:ext>
          </c:extLst>
        </c:ser>
        <c:dLbls>
          <c:showLegendKey val="0"/>
          <c:showVal val="1"/>
          <c:showCatName val="0"/>
          <c:showSerName val="0"/>
          <c:showPercent val="0"/>
          <c:showBubbleSize val="1"/>
        </c:dLbls>
        <c:gapWidth val="150"/>
        <c:axId val="10"/>
        <c:axId val="100"/>
      </c:barChart>
      <c:catAx>
        <c:axId val="10"/>
        <c:scaling>
          <c:orientation val="maxMin"/>
        </c:scaling>
        <c:delete val="0"/>
        <c:axPos val="l"/>
        <c:title>
          <c:tx>
            <c:rich>
              <a:bodyPr/>
              <a:lstStyle/>
              <a:p>
                <a:pPr>
                  <a:defRPr/>
                </a:pPr>
                <a:r>
                  <a:rPr lang="en-IN"/>
                  <a:t>Customer ID</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t"/>
        <c:majorGridlines/>
        <c:title>
          <c:tx>
            <c:rich>
              <a:bodyPr/>
              <a:lstStyle/>
              <a:p>
                <a:pPr>
                  <a:defRPr/>
                </a:pPr>
                <a:r>
                  <a:rPr lang="en-IN"/>
                  <a:t>Total Sales</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HISTOGRAM – Distribution of Order Sales</a:t>
            </a:r>
          </a:p>
        </c:rich>
      </c:tx>
      <c:overlay val="1"/>
    </c:title>
    <c:autoTitleDeleted val="0"/>
    <c:plotArea>
      <c:layout/>
      <c:barChart>
        <c:barDir val="col"/>
        <c:grouping val="clustered"/>
        <c:varyColors val="1"/>
        <c:ser>
          <c:idx val="0"/>
          <c:order val="0"/>
          <c:tx>
            <c:strRef>
              <c:f>Dataset!$U$86</c:f>
              <c:strCache>
                <c:ptCount val="1"/>
                <c:pt idx="0">
                  <c:v>Frequency</c:v>
                </c:pt>
              </c:strCache>
            </c:strRef>
          </c:tx>
          <c:spPr>
            <a:solidFill>
              <a:srgbClr val="70AD47"/>
            </a:solidFill>
            <a:ln>
              <a:prstDash val="solid"/>
            </a:ln>
          </c:spPr>
          <c:invertIfNegative val="1"/>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Dataset!$T$87:$T$96</c:f>
              <c:strCache>
                <c:ptCount val="10"/>
                <c:pt idx="0">
                  <c:v>400</c:v>
                </c:pt>
                <c:pt idx="1">
                  <c:v>600</c:v>
                </c:pt>
                <c:pt idx="2">
                  <c:v>800</c:v>
                </c:pt>
                <c:pt idx="3">
                  <c:v>1,000</c:v>
                </c:pt>
                <c:pt idx="4">
                  <c:v>1,200</c:v>
                </c:pt>
                <c:pt idx="5">
                  <c:v>1,400</c:v>
                </c:pt>
                <c:pt idx="6">
                  <c:v>1,600</c:v>
                </c:pt>
                <c:pt idx="7">
                  <c:v>1,800</c:v>
                </c:pt>
                <c:pt idx="8">
                  <c:v>2,000</c:v>
                </c:pt>
                <c:pt idx="9">
                  <c:v>More</c:v>
                </c:pt>
              </c:strCache>
            </c:strRef>
          </c:cat>
          <c:val>
            <c:numRef>
              <c:f>Dataset!$U$87:$U$96</c:f>
              <c:numCache>
                <c:formatCode>0</c:formatCode>
                <c:ptCount val="10"/>
                <c:pt idx="0">
                  <c:v>6</c:v>
                </c:pt>
                <c:pt idx="1">
                  <c:v>16</c:v>
                </c:pt>
                <c:pt idx="2">
                  <c:v>33</c:v>
                </c:pt>
                <c:pt idx="3">
                  <c:v>51</c:v>
                </c:pt>
                <c:pt idx="4">
                  <c:v>50</c:v>
                </c:pt>
                <c:pt idx="5">
                  <c:v>26</c:v>
                </c:pt>
                <c:pt idx="6">
                  <c:v>14</c:v>
                </c:pt>
                <c:pt idx="7">
                  <c:v>3</c:v>
                </c:pt>
                <c:pt idx="8">
                  <c:v>1</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1FEA-4C4C-8BB4-27EC4793C7B0}"/>
            </c:ext>
          </c:extLst>
        </c:ser>
        <c:dLbls>
          <c:showLegendKey val="0"/>
          <c:showVal val="1"/>
          <c:showCatName val="0"/>
          <c:showSerName val="0"/>
          <c:showPercent val="0"/>
          <c:showBubbleSize val="1"/>
        </c:dLbls>
        <c:gapWidth val="15"/>
        <c:axId val="10"/>
        <c:axId val="100"/>
      </c:barChart>
      <c:catAx>
        <c:axId val="10"/>
        <c:scaling>
          <c:orientation val="minMax"/>
        </c:scaling>
        <c:delete val="0"/>
        <c:axPos val="b"/>
        <c:title>
          <c:tx>
            <c:rich>
              <a:bodyPr/>
              <a:lstStyle/>
              <a:p>
                <a:pPr>
                  <a:defRPr/>
                </a:pPr>
                <a:r>
                  <a:rPr lang="en-IN"/>
                  <a:t>Bin (upper limit of sales per order)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IN"/>
                  <a:t>Number of orders</a:t>
                </a:r>
              </a:p>
            </c:rich>
          </c:tx>
          <c:overlay val="1"/>
        </c:title>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rPr lang="en-IN"/>
              <a:t>REGRESSION – Profit vs Sales (linear trendline)</a:t>
            </a:r>
          </a:p>
        </c:rich>
      </c:tx>
      <c:overlay val="1"/>
    </c:title>
    <c:autoTitleDeleted val="0"/>
    <c:plotArea>
      <c:layout/>
      <c:scatterChart>
        <c:scatterStyle val="lineMarker"/>
        <c:varyColors val="1"/>
        <c:ser>
          <c:idx val="0"/>
          <c:order val="0"/>
          <c:tx>
            <c:v>Orders</c:v>
          </c:tx>
          <c:spPr>
            <a:ln>
              <a:noFill/>
              <a:prstDash val="solid"/>
            </a:ln>
          </c:spPr>
          <c:marker>
            <c:symbol val="circle"/>
            <c:size val="5"/>
            <c:spPr>
              <a:solidFill>
                <a:srgbClr val="2F5597"/>
              </a:solidFill>
              <a:ln>
                <a:prstDash val="solid"/>
              </a:ln>
            </c:spPr>
          </c:marker>
          <c:trendline>
            <c:trendlineType val="linear"/>
            <c:dispRSqr val="1"/>
            <c:dispEq val="1"/>
            <c:trendlineLbl>
              <c:numFmt formatCode="General" sourceLinked="0"/>
            </c:trendlineLbl>
          </c:trendline>
          <c:xVal>
            <c:numRef>
              <c:f>Dataset!$E$2:$E$201</c:f>
              <c:numCache>
                <c:formatCode>#,##0.00</c:formatCode>
                <c:ptCount val="200"/>
                <c:pt idx="0">
                  <c:v>1036.0899999999999</c:v>
                </c:pt>
                <c:pt idx="1">
                  <c:v>1101.28</c:v>
                </c:pt>
                <c:pt idx="2">
                  <c:v>713.34</c:v>
                </c:pt>
                <c:pt idx="3">
                  <c:v>760.93</c:v>
                </c:pt>
                <c:pt idx="4">
                  <c:v>847</c:v>
                </c:pt>
                <c:pt idx="5">
                  <c:v>965.64</c:v>
                </c:pt>
                <c:pt idx="6">
                  <c:v>1317.53</c:v>
                </c:pt>
                <c:pt idx="7">
                  <c:v>1074.47</c:v>
                </c:pt>
                <c:pt idx="8">
                  <c:v>501.54</c:v>
                </c:pt>
                <c:pt idx="9">
                  <c:v>737.31</c:v>
                </c:pt>
                <c:pt idx="10">
                  <c:v>1572.82</c:v>
                </c:pt>
                <c:pt idx="11">
                  <c:v>1343.13</c:v>
                </c:pt>
                <c:pt idx="12">
                  <c:v>1191.58</c:v>
                </c:pt>
                <c:pt idx="13">
                  <c:v>822.28</c:v>
                </c:pt>
                <c:pt idx="14">
                  <c:v>521.66999999999996</c:v>
                </c:pt>
                <c:pt idx="15">
                  <c:v>1502.93</c:v>
                </c:pt>
                <c:pt idx="16">
                  <c:v>877.58</c:v>
                </c:pt>
                <c:pt idx="17">
                  <c:v>636.70000000000005</c:v>
                </c:pt>
                <c:pt idx="18">
                  <c:v>1506.14</c:v>
                </c:pt>
                <c:pt idx="19">
                  <c:v>645.02</c:v>
                </c:pt>
                <c:pt idx="20">
                  <c:v>953.3</c:v>
                </c:pt>
                <c:pt idx="21">
                  <c:v>388.56</c:v>
                </c:pt>
                <c:pt idx="22">
                  <c:v>743.17</c:v>
                </c:pt>
                <c:pt idx="23">
                  <c:v>706.37</c:v>
                </c:pt>
                <c:pt idx="24">
                  <c:v>925.31</c:v>
                </c:pt>
                <c:pt idx="25">
                  <c:v>1173.1199999999999</c:v>
                </c:pt>
                <c:pt idx="26">
                  <c:v>675.54</c:v>
                </c:pt>
                <c:pt idx="27">
                  <c:v>939.09</c:v>
                </c:pt>
                <c:pt idx="28">
                  <c:v>983.34</c:v>
                </c:pt>
                <c:pt idx="29">
                  <c:v>801.21</c:v>
                </c:pt>
                <c:pt idx="30">
                  <c:v>1450.71</c:v>
                </c:pt>
                <c:pt idx="31">
                  <c:v>1023.21</c:v>
                </c:pt>
                <c:pt idx="32">
                  <c:v>853.72</c:v>
                </c:pt>
                <c:pt idx="33">
                  <c:v>967.89</c:v>
                </c:pt>
                <c:pt idx="34">
                  <c:v>1200.9000000000001</c:v>
                </c:pt>
                <c:pt idx="35">
                  <c:v>472.38</c:v>
                </c:pt>
                <c:pt idx="36">
                  <c:v>840.92</c:v>
                </c:pt>
                <c:pt idx="37">
                  <c:v>1410.06</c:v>
                </c:pt>
                <c:pt idx="38">
                  <c:v>773.09</c:v>
                </c:pt>
                <c:pt idx="39">
                  <c:v>580.42999999999995</c:v>
                </c:pt>
                <c:pt idx="40">
                  <c:v>1151.21</c:v>
                </c:pt>
                <c:pt idx="41">
                  <c:v>1025.98</c:v>
                </c:pt>
                <c:pt idx="42">
                  <c:v>556.41999999999996</c:v>
                </c:pt>
                <c:pt idx="43">
                  <c:v>840.85</c:v>
                </c:pt>
                <c:pt idx="44">
                  <c:v>1227.25</c:v>
                </c:pt>
                <c:pt idx="45">
                  <c:v>856.7</c:v>
                </c:pt>
                <c:pt idx="46">
                  <c:v>1225.42</c:v>
                </c:pt>
                <c:pt idx="47">
                  <c:v>1001.57</c:v>
                </c:pt>
                <c:pt idx="48">
                  <c:v>1186.8499999999999</c:v>
                </c:pt>
                <c:pt idx="49">
                  <c:v>775.45</c:v>
                </c:pt>
                <c:pt idx="50">
                  <c:v>1021.47</c:v>
                </c:pt>
                <c:pt idx="51">
                  <c:v>1226.6199999999999</c:v>
                </c:pt>
                <c:pt idx="52">
                  <c:v>1086.93</c:v>
                </c:pt>
                <c:pt idx="53">
                  <c:v>942.9</c:v>
                </c:pt>
                <c:pt idx="54">
                  <c:v>818.8</c:v>
                </c:pt>
                <c:pt idx="55">
                  <c:v>919.04</c:v>
                </c:pt>
                <c:pt idx="56">
                  <c:v>973.26</c:v>
                </c:pt>
                <c:pt idx="57">
                  <c:v>741.61</c:v>
                </c:pt>
                <c:pt idx="58">
                  <c:v>1248.82</c:v>
                </c:pt>
                <c:pt idx="59">
                  <c:v>1360.36</c:v>
                </c:pt>
                <c:pt idx="60">
                  <c:v>1383.3</c:v>
                </c:pt>
                <c:pt idx="61">
                  <c:v>488.99</c:v>
                </c:pt>
                <c:pt idx="62">
                  <c:v>933.71</c:v>
                </c:pt>
                <c:pt idx="63">
                  <c:v>1005.53</c:v>
                </c:pt>
                <c:pt idx="64">
                  <c:v>1100.0999999999999</c:v>
                </c:pt>
                <c:pt idx="65">
                  <c:v>1034.7</c:v>
                </c:pt>
                <c:pt idx="66">
                  <c:v>876.44</c:v>
                </c:pt>
                <c:pt idx="67">
                  <c:v>1371.34</c:v>
                </c:pt>
                <c:pt idx="68">
                  <c:v>1020.26</c:v>
                </c:pt>
                <c:pt idx="69">
                  <c:v>804.81</c:v>
                </c:pt>
                <c:pt idx="70">
                  <c:v>608.66</c:v>
                </c:pt>
                <c:pt idx="71">
                  <c:v>981.2</c:v>
                </c:pt>
                <c:pt idx="72">
                  <c:v>539.77</c:v>
                </c:pt>
                <c:pt idx="73">
                  <c:v>804.45</c:v>
                </c:pt>
                <c:pt idx="74">
                  <c:v>1526.6</c:v>
                </c:pt>
                <c:pt idx="75">
                  <c:v>1215.26</c:v>
                </c:pt>
                <c:pt idx="76">
                  <c:v>1261.3399999999999</c:v>
                </c:pt>
                <c:pt idx="77">
                  <c:v>518.07000000000005</c:v>
                </c:pt>
                <c:pt idx="78">
                  <c:v>1111.3399999999999</c:v>
                </c:pt>
                <c:pt idx="79">
                  <c:v>1291.47</c:v>
                </c:pt>
                <c:pt idx="80">
                  <c:v>679.71</c:v>
                </c:pt>
                <c:pt idx="81">
                  <c:v>1143.69</c:v>
                </c:pt>
                <c:pt idx="82">
                  <c:v>790.08</c:v>
                </c:pt>
                <c:pt idx="83">
                  <c:v>1070.68</c:v>
                </c:pt>
                <c:pt idx="84">
                  <c:v>1168.8900000000001</c:v>
                </c:pt>
                <c:pt idx="85">
                  <c:v>1335.87</c:v>
                </c:pt>
                <c:pt idx="86">
                  <c:v>873.7</c:v>
                </c:pt>
                <c:pt idx="87">
                  <c:v>1443.98</c:v>
                </c:pt>
                <c:pt idx="88">
                  <c:v>1154.33</c:v>
                </c:pt>
                <c:pt idx="89">
                  <c:v>1264.49</c:v>
                </c:pt>
                <c:pt idx="90">
                  <c:v>1101.55</c:v>
                </c:pt>
                <c:pt idx="91">
                  <c:v>727.73</c:v>
                </c:pt>
                <c:pt idx="92">
                  <c:v>875.41</c:v>
                </c:pt>
                <c:pt idx="93">
                  <c:v>1158.94</c:v>
                </c:pt>
                <c:pt idx="94">
                  <c:v>966.3</c:v>
                </c:pt>
                <c:pt idx="95">
                  <c:v>917.48</c:v>
                </c:pt>
                <c:pt idx="96">
                  <c:v>1172.97</c:v>
                </c:pt>
                <c:pt idx="97">
                  <c:v>1205.82</c:v>
                </c:pt>
                <c:pt idx="98">
                  <c:v>826.93</c:v>
                </c:pt>
                <c:pt idx="99">
                  <c:v>902.19</c:v>
                </c:pt>
                <c:pt idx="100">
                  <c:v>585.97</c:v>
                </c:pt>
                <c:pt idx="101">
                  <c:v>990.19</c:v>
                </c:pt>
                <c:pt idx="102">
                  <c:v>1014.09</c:v>
                </c:pt>
                <c:pt idx="103">
                  <c:v>925.29</c:v>
                </c:pt>
                <c:pt idx="104">
                  <c:v>1286.54</c:v>
                </c:pt>
                <c:pt idx="105">
                  <c:v>961.62</c:v>
                </c:pt>
                <c:pt idx="106">
                  <c:v>1081.1400000000001</c:v>
                </c:pt>
                <c:pt idx="107">
                  <c:v>1923.66</c:v>
                </c:pt>
                <c:pt idx="108">
                  <c:v>728.71</c:v>
                </c:pt>
                <c:pt idx="109">
                  <c:v>1301.8900000000001</c:v>
                </c:pt>
                <c:pt idx="110">
                  <c:v>980.18</c:v>
                </c:pt>
                <c:pt idx="111">
                  <c:v>697.57</c:v>
                </c:pt>
                <c:pt idx="112">
                  <c:v>1193.6099999999999</c:v>
                </c:pt>
                <c:pt idx="113">
                  <c:v>771.02</c:v>
                </c:pt>
                <c:pt idx="114">
                  <c:v>661.09</c:v>
                </c:pt>
                <c:pt idx="115">
                  <c:v>688.83</c:v>
                </c:pt>
                <c:pt idx="116">
                  <c:v>1249.0999999999999</c:v>
                </c:pt>
                <c:pt idx="117">
                  <c:v>1014.22</c:v>
                </c:pt>
                <c:pt idx="118">
                  <c:v>1010.58</c:v>
                </c:pt>
                <c:pt idx="119">
                  <c:v>957.29</c:v>
                </c:pt>
                <c:pt idx="120">
                  <c:v>1077.92</c:v>
                </c:pt>
                <c:pt idx="121">
                  <c:v>1163.01</c:v>
                </c:pt>
                <c:pt idx="122">
                  <c:v>1014.56</c:v>
                </c:pt>
                <c:pt idx="123">
                  <c:v>718.04</c:v>
                </c:pt>
                <c:pt idx="124">
                  <c:v>1277.8499999999999</c:v>
                </c:pt>
                <c:pt idx="125">
                  <c:v>706.73</c:v>
                </c:pt>
                <c:pt idx="126">
                  <c:v>1410.59</c:v>
                </c:pt>
                <c:pt idx="127">
                  <c:v>1350.33</c:v>
                </c:pt>
                <c:pt idx="128">
                  <c:v>919.18</c:v>
                </c:pt>
                <c:pt idx="129">
                  <c:v>258.51</c:v>
                </c:pt>
                <c:pt idx="130">
                  <c:v>1213.48</c:v>
                </c:pt>
                <c:pt idx="131">
                  <c:v>1150.28</c:v>
                </c:pt>
                <c:pt idx="132">
                  <c:v>853.86</c:v>
                </c:pt>
                <c:pt idx="133">
                  <c:v>1061.04</c:v>
                </c:pt>
                <c:pt idx="134">
                  <c:v>894.55</c:v>
                </c:pt>
                <c:pt idx="135">
                  <c:v>833.91</c:v>
                </c:pt>
                <c:pt idx="136">
                  <c:v>820.19</c:v>
                </c:pt>
                <c:pt idx="137">
                  <c:v>511.74</c:v>
                </c:pt>
                <c:pt idx="138">
                  <c:v>806.03</c:v>
                </c:pt>
                <c:pt idx="139">
                  <c:v>1432.47</c:v>
                </c:pt>
                <c:pt idx="140">
                  <c:v>1488.58</c:v>
                </c:pt>
                <c:pt idx="141">
                  <c:v>1231.26</c:v>
                </c:pt>
                <c:pt idx="142">
                  <c:v>1161.67</c:v>
                </c:pt>
                <c:pt idx="143">
                  <c:v>388.23</c:v>
                </c:pt>
                <c:pt idx="144">
                  <c:v>1589.42</c:v>
                </c:pt>
                <c:pt idx="145">
                  <c:v>336.66</c:v>
                </c:pt>
                <c:pt idx="146">
                  <c:v>1353.79</c:v>
                </c:pt>
                <c:pt idx="147">
                  <c:v>662.61</c:v>
                </c:pt>
                <c:pt idx="148">
                  <c:v>309.42</c:v>
                </c:pt>
                <c:pt idx="149">
                  <c:v>884.63</c:v>
                </c:pt>
                <c:pt idx="150">
                  <c:v>745.05</c:v>
                </c:pt>
                <c:pt idx="151">
                  <c:v>870.23</c:v>
                </c:pt>
                <c:pt idx="152">
                  <c:v>862.19</c:v>
                </c:pt>
                <c:pt idx="153">
                  <c:v>1171.18</c:v>
                </c:pt>
                <c:pt idx="154">
                  <c:v>1054.56</c:v>
                </c:pt>
                <c:pt idx="155">
                  <c:v>1681.21</c:v>
                </c:pt>
                <c:pt idx="156">
                  <c:v>379.77</c:v>
                </c:pt>
                <c:pt idx="157">
                  <c:v>1076.33</c:v>
                </c:pt>
                <c:pt idx="158">
                  <c:v>1250.71</c:v>
                </c:pt>
                <c:pt idx="159">
                  <c:v>1118.3399999999999</c:v>
                </c:pt>
                <c:pt idx="160">
                  <c:v>1622.62</c:v>
                </c:pt>
                <c:pt idx="161">
                  <c:v>640.64</c:v>
                </c:pt>
                <c:pt idx="162">
                  <c:v>585.16</c:v>
                </c:pt>
                <c:pt idx="163">
                  <c:v>1109.98</c:v>
                </c:pt>
                <c:pt idx="164">
                  <c:v>1098.08</c:v>
                </c:pt>
                <c:pt idx="165">
                  <c:v>827.25</c:v>
                </c:pt>
                <c:pt idx="166">
                  <c:v>741.88</c:v>
                </c:pt>
                <c:pt idx="167">
                  <c:v>1311.26</c:v>
                </c:pt>
                <c:pt idx="168">
                  <c:v>573.32000000000005</c:v>
                </c:pt>
                <c:pt idx="169">
                  <c:v>1115.22</c:v>
                </c:pt>
                <c:pt idx="170">
                  <c:v>845.84</c:v>
                </c:pt>
                <c:pt idx="171">
                  <c:v>1029.8</c:v>
                </c:pt>
                <c:pt idx="172">
                  <c:v>1189.83</c:v>
                </c:pt>
                <c:pt idx="173">
                  <c:v>704.28</c:v>
                </c:pt>
                <c:pt idx="174">
                  <c:v>1618.22</c:v>
                </c:pt>
                <c:pt idx="175">
                  <c:v>1014.43</c:v>
                </c:pt>
                <c:pt idx="176">
                  <c:v>826.97</c:v>
                </c:pt>
                <c:pt idx="177">
                  <c:v>1022.23</c:v>
                </c:pt>
                <c:pt idx="178">
                  <c:v>1099.69</c:v>
                </c:pt>
                <c:pt idx="179">
                  <c:v>710.52</c:v>
                </c:pt>
                <c:pt idx="180">
                  <c:v>499.18</c:v>
                </c:pt>
                <c:pt idx="181">
                  <c:v>1064.19</c:v>
                </c:pt>
                <c:pt idx="182">
                  <c:v>438.76</c:v>
                </c:pt>
                <c:pt idx="183">
                  <c:v>864.98</c:v>
                </c:pt>
                <c:pt idx="184">
                  <c:v>984.93</c:v>
                </c:pt>
                <c:pt idx="185">
                  <c:v>1493.49</c:v>
                </c:pt>
                <c:pt idx="186">
                  <c:v>689.43</c:v>
                </c:pt>
                <c:pt idx="187">
                  <c:v>682.24</c:v>
                </c:pt>
                <c:pt idx="188">
                  <c:v>458.54</c:v>
                </c:pt>
                <c:pt idx="189">
                  <c:v>1184.25</c:v>
                </c:pt>
                <c:pt idx="190">
                  <c:v>762.14</c:v>
                </c:pt>
                <c:pt idx="191">
                  <c:v>750.71</c:v>
                </c:pt>
                <c:pt idx="192">
                  <c:v>1456.94</c:v>
                </c:pt>
                <c:pt idx="193">
                  <c:v>1093.3800000000001</c:v>
                </c:pt>
                <c:pt idx="194">
                  <c:v>934.27</c:v>
                </c:pt>
                <c:pt idx="195">
                  <c:v>1465.35</c:v>
                </c:pt>
                <c:pt idx="196">
                  <c:v>740.8</c:v>
                </c:pt>
                <c:pt idx="197">
                  <c:v>545.44000000000005</c:v>
                </c:pt>
                <c:pt idx="198">
                  <c:v>997.61</c:v>
                </c:pt>
                <c:pt idx="199">
                  <c:v>928.32</c:v>
                </c:pt>
              </c:numCache>
            </c:numRef>
          </c:xVal>
          <c:yVal>
            <c:numRef>
              <c:f>Dataset!$I$2:$I$201</c:f>
              <c:numCache>
                <c:formatCode>#,##0.00</c:formatCode>
                <c:ptCount val="200"/>
                <c:pt idx="0">
                  <c:v>331.55</c:v>
                </c:pt>
                <c:pt idx="1">
                  <c:v>440.51</c:v>
                </c:pt>
                <c:pt idx="2">
                  <c:v>285.33999999999997</c:v>
                </c:pt>
                <c:pt idx="3">
                  <c:v>161.69999999999999</c:v>
                </c:pt>
                <c:pt idx="4">
                  <c:v>271.04000000000002</c:v>
                </c:pt>
                <c:pt idx="5">
                  <c:v>304.18</c:v>
                </c:pt>
                <c:pt idx="6">
                  <c:v>312.91000000000003</c:v>
                </c:pt>
                <c:pt idx="7">
                  <c:v>300.85000000000002</c:v>
                </c:pt>
                <c:pt idx="8">
                  <c:v>190.59</c:v>
                </c:pt>
                <c:pt idx="9">
                  <c:v>350.22</c:v>
                </c:pt>
                <c:pt idx="10">
                  <c:v>672.38</c:v>
                </c:pt>
                <c:pt idx="11">
                  <c:v>456.66</c:v>
                </c:pt>
                <c:pt idx="12">
                  <c:v>452.8</c:v>
                </c:pt>
                <c:pt idx="13">
                  <c:v>273.41000000000003</c:v>
                </c:pt>
                <c:pt idx="14">
                  <c:v>155.19999999999999</c:v>
                </c:pt>
                <c:pt idx="15">
                  <c:v>300.58999999999997</c:v>
                </c:pt>
                <c:pt idx="16">
                  <c:v>298.38</c:v>
                </c:pt>
                <c:pt idx="17">
                  <c:v>203.74</c:v>
                </c:pt>
                <c:pt idx="18">
                  <c:v>481.96</c:v>
                </c:pt>
                <c:pt idx="19">
                  <c:v>161.26</c:v>
                </c:pt>
                <c:pt idx="20">
                  <c:v>476.65</c:v>
                </c:pt>
                <c:pt idx="21">
                  <c:v>82.57</c:v>
                </c:pt>
                <c:pt idx="22">
                  <c:v>297.27</c:v>
                </c:pt>
                <c:pt idx="23">
                  <c:v>176.59</c:v>
                </c:pt>
                <c:pt idx="24">
                  <c:v>374.75</c:v>
                </c:pt>
                <c:pt idx="25">
                  <c:v>293.27999999999997</c:v>
                </c:pt>
                <c:pt idx="26">
                  <c:v>236.44</c:v>
                </c:pt>
                <c:pt idx="27">
                  <c:v>356.85</c:v>
                </c:pt>
                <c:pt idx="28">
                  <c:v>398.25</c:v>
                </c:pt>
                <c:pt idx="29">
                  <c:v>160.24</c:v>
                </c:pt>
                <c:pt idx="30">
                  <c:v>326.41000000000003</c:v>
                </c:pt>
                <c:pt idx="31">
                  <c:v>388.82</c:v>
                </c:pt>
                <c:pt idx="32">
                  <c:v>253.98</c:v>
                </c:pt>
                <c:pt idx="33">
                  <c:v>217.78</c:v>
                </c:pt>
                <c:pt idx="34">
                  <c:v>513.38</c:v>
                </c:pt>
                <c:pt idx="35">
                  <c:v>151.16</c:v>
                </c:pt>
                <c:pt idx="36">
                  <c:v>359.49</c:v>
                </c:pt>
                <c:pt idx="37">
                  <c:v>468.84</c:v>
                </c:pt>
                <c:pt idx="38">
                  <c:v>229.99</c:v>
                </c:pt>
                <c:pt idx="39">
                  <c:v>197.35</c:v>
                </c:pt>
                <c:pt idx="40">
                  <c:v>414.44</c:v>
                </c:pt>
                <c:pt idx="41">
                  <c:v>369.35</c:v>
                </c:pt>
                <c:pt idx="42">
                  <c:v>212.83</c:v>
                </c:pt>
                <c:pt idx="43">
                  <c:v>302.70999999999998</c:v>
                </c:pt>
                <c:pt idx="44">
                  <c:v>365.11</c:v>
                </c:pt>
                <c:pt idx="45">
                  <c:v>214.18</c:v>
                </c:pt>
                <c:pt idx="46">
                  <c:v>468.72</c:v>
                </c:pt>
                <c:pt idx="47">
                  <c:v>450.71</c:v>
                </c:pt>
                <c:pt idx="48">
                  <c:v>332.32</c:v>
                </c:pt>
                <c:pt idx="49">
                  <c:v>174.48</c:v>
                </c:pt>
                <c:pt idx="50">
                  <c:v>242.6</c:v>
                </c:pt>
                <c:pt idx="51">
                  <c:v>551.98</c:v>
                </c:pt>
                <c:pt idx="52">
                  <c:v>380.43</c:v>
                </c:pt>
                <c:pt idx="53">
                  <c:v>339.44</c:v>
                </c:pt>
                <c:pt idx="54">
                  <c:v>173.99</c:v>
                </c:pt>
                <c:pt idx="55">
                  <c:v>257.33</c:v>
                </c:pt>
                <c:pt idx="56">
                  <c:v>389.3</c:v>
                </c:pt>
                <c:pt idx="57">
                  <c:v>148.32</c:v>
                </c:pt>
                <c:pt idx="58">
                  <c:v>449.58</c:v>
                </c:pt>
                <c:pt idx="59">
                  <c:v>680.18</c:v>
                </c:pt>
                <c:pt idx="60">
                  <c:v>497.99</c:v>
                </c:pt>
                <c:pt idx="61">
                  <c:v>220.05</c:v>
                </c:pt>
                <c:pt idx="62">
                  <c:v>294.12</c:v>
                </c:pt>
                <c:pt idx="63">
                  <c:v>201.11</c:v>
                </c:pt>
                <c:pt idx="64">
                  <c:v>261.27</c:v>
                </c:pt>
                <c:pt idx="65">
                  <c:v>307.82</c:v>
                </c:pt>
                <c:pt idx="66">
                  <c:v>333.05</c:v>
                </c:pt>
                <c:pt idx="67">
                  <c:v>455.97</c:v>
                </c:pt>
                <c:pt idx="68">
                  <c:v>242.31</c:v>
                </c:pt>
                <c:pt idx="69">
                  <c:v>344.06</c:v>
                </c:pt>
                <c:pt idx="70">
                  <c:v>144.56</c:v>
                </c:pt>
                <c:pt idx="71">
                  <c:v>441.54</c:v>
                </c:pt>
                <c:pt idx="72">
                  <c:v>114.7</c:v>
                </c:pt>
                <c:pt idx="73">
                  <c:v>257.42</c:v>
                </c:pt>
                <c:pt idx="74">
                  <c:v>305.32</c:v>
                </c:pt>
                <c:pt idx="75">
                  <c:v>258.24</c:v>
                </c:pt>
                <c:pt idx="76">
                  <c:v>441.47</c:v>
                </c:pt>
                <c:pt idx="77">
                  <c:v>172.26</c:v>
                </c:pt>
                <c:pt idx="78">
                  <c:v>500.1</c:v>
                </c:pt>
                <c:pt idx="79">
                  <c:v>581.16</c:v>
                </c:pt>
                <c:pt idx="80">
                  <c:v>271.88</c:v>
                </c:pt>
                <c:pt idx="81">
                  <c:v>400.29</c:v>
                </c:pt>
                <c:pt idx="82">
                  <c:v>177.77</c:v>
                </c:pt>
                <c:pt idx="83">
                  <c:v>406.86</c:v>
                </c:pt>
                <c:pt idx="84">
                  <c:v>526</c:v>
                </c:pt>
                <c:pt idx="85">
                  <c:v>333.97</c:v>
                </c:pt>
                <c:pt idx="86">
                  <c:v>305.8</c:v>
                </c:pt>
                <c:pt idx="87">
                  <c:v>649.79</c:v>
                </c:pt>
                <c:pt idx="88">
                  <c:v>441.53</c:v>
                </c:pt>
                <c:pt idx="89">
                  <c:v>480.51</c:v>
                </c:pt>
                <c:pt idx="90">
                  <c:v>346.99</c:v>
                </c:pt>
                <c:pt idx="91">
                  <c:v>229.23</c:v>
                </c:pt>
                <c:pt idx="92">
                  <c:v>334.84</c:v>
                </c:pt>
                <c:pt idx="93">
                  <c:v>231.79</c:v>
                </c:pt>
                <c:pt idx="94">
                  <c:v>328.54</c:v>
                </c:pt>
                <c:pt idx="95">
                  <c:v>366.99</c:v>
                </c:pt>
                <c:pt idx="96">
                  <c:v>348.96</c:v>
                </c:pt>
                <c:pt idx="97">
                  <c:v>542.62</c:v>
                </c:pt>
                <c:pt idx="98">
                  <c:v>297.69</c:v>
                </c:pt>
                <c:pt idx="99">
                  <c:v>451.1</c:v>
                </c:pt>
                <c:pt idx="100">
                  <c:v>210.95</c:v>
                </c:pt>
                <c:pt idx="101">
                  <c:v>445.59</c:v>
                </c:pt>
                <c:pt idx="102">
                  <c:v>202.82</c:v>
                </c:pt>
                <c:pt idx="103">
                  <c:v>231.32</c:v>
                </c:pt>
                <c:pt idx="104">
                  <c:v>450.29</c:v>
                </c:pt>
                <c:pt idx="105">
                  <c:v>307.72000000000003</c:v>
                </c:pt>
                <c:pt idx="106">
                  <c:v>367.59</c:v>
                </c:pt>
                <c:pt idx="107">
                  <c:v>769.46</c:v>
                </c:pt>
                <c:pt idx="108">
                  <c:v>327.92</c:v>
                </c:pt>
                <c:pt idx="109">
                  <c:v>553.29999999999995</c:v>
                </c:pt>
                <c:pt idx="110">
                  <c:v>352.86</c:v>
                </c:pt>
                <c:pt idx="111">
                  <c:v>313.91000000000003</c:v>
                </c:pt>
                <c:pt idx="112">
                  <c:v>355.1</c:v>
                </c:pt>
                <c:pt idx="113">
                  <c:v>192.76</c:v>
                </c:pt>
                <c:pt idx="114">
                  <c:v>264.44</c:v>
                </c:pt>
                <c:pt idx="115">
                  <c:v>172.21</c:v>
                </c:pt>
                <c:pt idx="116">
                  <c:v>474.66</c:v>
                </c:pt>
                <c:pt idx="117">
                  <c:v>433.58</c:v>
                </c:pt>
                <c:pt idx="118">
                  <c:v>343.6</c:v>
                </c:pt>
                <c:pt idx="119">
                  <c:v>318.3</c:v>
                </c:pt>
                <c:pt idx="120">
                  <c:v>358.41</c:v>
                </c:pt>
                <c:pt idx="121">
                  <c:v>581.5</c:v>
                </c:pt>
                <c:pt idx="122">
                  <c:v>410.9</c:v>
                </c:pt>
                <c:pt idx="123">
                  <c:v>179.51</c:v>
                </c:pt>
                <c:pt idx="124">
                  <c:v>511.14</c:v>
                </c:pt>
                <c:pt idx="125">
                  <c:v>150.18</c:v>
                </c:pt>
                <c:pt idx="126">
                  <c:v>352.65</c:v>
                </c:pt>
                <c:pt idx="127">
                  <c:v>472.62</c:v>
                </c:pt>
                <c:pt idx="128">
                  <c:v>195.33</c:v>
                </c:pt>
                <c:pt idx="129">
                  <c:v>64.63</c:v>
                </c:pt>
                <c:pt idx="130">
                  <c:v>461.12</c:v>
                </c:pt>
                <c:pt idx="131">
                  <c:v>437.11</c:v>
                </c:pt>
                <c:pt idx="132">
                  <c:v>268.97000000000003</c:v>
                </c:pt>
                <c:pt idx="133">
                  <c:v>265.26</c:v>
                </c:pt>
                <c:pt idx="134">
                  <c:v>178.91</c:v>
                </c:pt>
                <c:pt idx="135">
                  <c:v>356.5</c:v>
                </c:pt>
                <c:pt idx="136">
                  <c:v>229.65</c:v>
                </c:pt>
                <c:pt idx="137">
                  <c:v>121.54</c:v>
                </c:pt>
                <c:pt idx="138">
                  <c:v>268</c:v>
                </c:pt>
                <c:pt idx="139">
                  <c:v>426.16</c:v>
                </c:pt>
                <c:pt idx="140">
                  <c:v>316.32</c:v>
                </c:pt>
                <c:pt idx="141">
                  <c:v>492.5</c:v>
                </c:pt>
                <c:pt idx="142">
                  <c:v>232.33</c:v>
                </c:pt>
                <c:pt idx="143">
                  <c:v>165.97</c:v>
                </c:pt>
                <c:pt idx="144">
                  <c:v>675.5</c:v>
                </c:pt>
                <c:pt idx="145">
                  <c:v>134.66</c:v>
                </c:pt>
                <c:pt idx="146">
                  <c:v>487.36</c:v>
                </c:pt>
                <c:pt idx="147">
                  <c:v>314.74</c:v>
                </c:pt>
                <c:pt idx="148">
                  <c:v>111.39</c:v>
                </c:pt>
                <c:pt idx="149">
                  <c:v>318.47000000000003</c:v>
                </c:pt>
                <c:pt idx="150">
                  <c:v>301.75</c:v>
                </c:pt>
                <c:pt idx="151">
                  <c:v>413.36</c:v>
                </c:pt>
                <c:pt idx="152">
                  <c:v>286.68</c:v>
                </c:pt>
                <c:pt idx="153">
                  <c:v>556.30999999999995</c:v>
                </c:pt>
                <c:pt idx="154">
                  <c:v>332.19</c:v>
                </c:pt>
                <c:pt idx="155">
                  <c:v>336.24</c:v>
                </c:pt>
                <c:pt idx="156">
                  <c:v>180.39</c:v>
                </c:pt>
                <c:pt idx="157">
                  <c:v>484.35</c:v>
                </c:pt>
                <c:pt idx="158">
                  <c:v>562.82000000000005</c:v>
                </c:pt>
                <c:pt idx="159">
                  <c:v>447.34</c:v>
                </c:pt>
                <c:pt idx="160">
                  <c:v>649.04999999999995</c:v>
                </c:pt>
                <c:pt idx="161">
                  <c:v>205</c:v>
                </c:pt>
                <c:pt idx="162">
                  <c:v>263.32</c:v>
                </c:pt>
                <c:pt idx="163">
                  <c:v>443.99</c:v>
                </c:pt>
                <c:pt idx="164">
                  <c:v>395.31</c:v>
                </c:pt>
                <c:pt idx="165">
                  <c:v>335.04</c:v>
                </c:pt>
                <c:pt idx="166">
                  <c:v>333.85</c:v>
                </c:pt>
                <c:pt idx="167">
                  <c:v>531.05999999999995</c:v>
                </c:pt>
                <c:pt idx="168">
                  <c:v>232.19</c:v>
                </c:pt>
                <c:pt idx="169">
                  <c:v>223.04</c:v>
                </c:pt>
                <c:pt idx="170">
                  <c:v>422.92</c:v>
                </c:pt>
                <c:pt idx="171">
                  <c:v>257.45</c:v>
                </c:pt>
                <c:pt idx="172">
                  <c:v>380.75</c:v>
                </c:pt>
                <c:pt idx="173">
                  <c:v>225.37</c:v>
                </c:pt>
                <c:pt idx="174">
                  <c:v>582.55999999999995</c:v>
                </c:pt>
                <c:pt idx="175">
                  <c:v>344.91</c:v>
                </c:pt>
                <c:pt idx="176">
                  <c:v>330.79</c:v>
                </c:pt>
                <c:pt idx="177">
                  <c:v>460</c:v>
                </c:pt>
                <c:pt idx="178">
                  <c:v>439.88</c:v>
                </c:pt>
                <c:pt idx="179">
                  <c:v>255.79</c:v>
                </c:pt>
                <c:pt idx="180">
                  <c:v>159.74</c:v>
                </c:pt>
                <c:pt idx="181">
                  <c:v>404.39</c:v>
                </c:pt>
                <c:pt idx="182">
                  <c:v>187.57</c:v>
                </c:pt>
                <c:pt idx="183">
                  <c:v>410.87</c:v>
                </c:pt>
                <c:pt idx="184">
                  <c:v>275.77999999999997</c:v>
                </c:pt>
                <c:pt idx="185">
                  <c:v>746.74</c:v>
                </c:pt>
                <c:pt idx="186">
                  <c:v>310.24</c:v>
                </c:pt>
                <c:pt idx="187">
                  <c:v>341.12</c:v>
                </c:pt>
                <c:pt idx="188">
                  <c:v>91.71</c:v>
                </c:pt>
                <c:pt idx="189">
                  <c:v>331.59</c:v>
                </c:pt>
                <c:pt idx="190">
                  <c:v>381.07</c:v>
                </c:pt>
                <c:pt idx="191">
                  <c:v>255.24</c:v>
                </c:pt>
                <c:pt idx="192">
                  <c:v>692.05</c:v>
                </c:pt>
                <c:pt idx="193">
                  <c:v>344.41</c:v>
                </c:pt>
                <c:pt idx="194">
                  <c:v>397.06</c:v>
                </c:pt>
                <c:pt idx="195">
                  <c:v>586.14</c:v>
                </c:pt>
                <c:pt idx="196">
                  <c:v>333.36</c:v>
                </c:pt>
                <c:pt idx="197">
                  <c:v>245.45</c:v>
                </c:pt>
                <c:pt idx="198">
                  <c:v>379.09</c:v>
                </c:pt>
                <c:pt idx="199">
                  <c:v>440.95</c:v>
                </c:pt>
              </c:numCache>
            </c:numRef>
          </c:yVal>
          <c:smooth val="1"/>
          <c:extLst>
            <c:ext xmlns:c16="http://schemas.microsoft.com/office/drawing/2014/chart" uri="{C3380CC4-5D6E-409C-BE32-E72D297353CC}">
              <c16:uniqueId val="{00000001-7485-4C0C-A87D-9E21027D7C04}"/>
            </c:ext>
          </c:extLst>
        </c:ser>
        <c:dLbls>
          <c:showLegendKey val="0"/>
          <c:showVal val="0"/>
          <c:showCatName val="0"/>
          <c:showSerName val="0"/>
          <c:showPercent val="0"/>
          <c:showBubbleSize val="0"/>
        </c:dLbls>
        <c:axId val="10"/>
        <c:axId val="20"/>
      </c:scatterChart>
      <c:valAx>
        <c:axId val="10"/>
        <c:scaling>
          <c:orientation val="minMax"/>
          <c:min val="0"/>
        </c:scaling>
        <c:delete val="0"/>
        <c:axPos val="b"/>
        <c:majorGridlines/>
        <c:title>
          <c:tx>
            <c:rich>
              <a:bodyPr/>
              <a:lstStyle/>
              <a:p>
                <a:pPr>
                  <a:defRPr/>
                </a:pPr>
                <a:r>
                  <a:rPr lang="en-IN"/>
                  <a:t>Sales</a:t>
                </a:r>
              </a:p>
            </c:rich>
          </c:tx>
          <c:overlay val="1"/>
        </c:title>
        <c:numFmt formatCode="#,##0.00" sourceLinked="1"/>
        <c:majorTickMark val="none"/>
        <c:minorTickMark val="none"/>
        <c:tickLblPos val="nextTo"/>
        <c:crossAx val="20"/>
        <c:crosses val="autoZero"/>
        <c:crossBetween val="midCat"/>
      </c:valAx>
      <c:valAx>
        <c:axId val="20"/>
        <c:scaling>
          <c:orientation val="minMax"/>
          <c:min val="0"/>
        </c:scaling>
        <c:delete val="0"/>
        <c:axPos val="l"/>
        <c:majorGridlines/>
        <c:title>
          <c:tx>
            <c:rich>
              <a:bodyPr/>
              <a:lstStyle/>
              <a:p>
                <a:pPr>
                  <a:defRPr/>
                </a:pPr>
                <a:r>
                  <a:rPr lang="en-IN"/>
                  <a:t>Profit</a:t>
                </a:r>
              </a:p>
            </c:rich>
          </c:tx>
          <c:overlay val="1"/>
        </c:title>
        <c:numFmt formatCode="#,##0.00" sourceLinked="1"/>
        <c:majorTickMark val="none"/>
        <c:minorTickMark val="none"/>
        <c:tickLblPos val="nextTo"/>
        <c:crossAx val="10"/>
        <c:crosses val="autoZero"/>
        <c:crossBetween val="midCat"/>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19</xdr:col>
      <xdr:colOff>0</xdr:colOff>
      <xdr:row>23</xdr:row>
      <xdr:rowOff>0</xdr:rowOff>
    </xdr:from>
    <xdr:ext cx="6120000" cy="288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19</xdr:col>
      <xdr:colOff>0</xdr:colOff>
      <xdr:row>97</xdr:row>
      <xdr:rowOff>0</xdr:rowOff>
    </xdr:from>
    <xdr:ext cx="6120000" cy="288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10</xdr:row>
      <xdr:rowOff>0</xdr:rowOff>
    </xdr:from>
    <xdr:ext cx="5868000" cy="2951999"/>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11</xdr:col>
      <xdr:colOff>0</xdr:colOff>
      <xdr:row>10</xdr:row>
      <xdr:rowOff>0</xdr:rowOff>
    </xdr:from>
    <xdr:ext cx="5868000" cy="2951999"/>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27</xdr:row>
      <xdr:rowOff>0</xdr:rowOff>
    </xdr:from>
    <xdr:ext cx="5868000" cy="3115235"/>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10</xdr:col>
      <xdr:colOff>136292</xdr:colOff>
      <xdr:row>26</xdr:row>
      <xdr:rowOff>0</xdr:rowOff>
    </xdr:from>
    <xdr:ext cx="5868000" cy="3137853"/>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44</xdr:row>
      <xdr:rowOff>0</xdr:rowOff>
    </xdr:from>
    <xdr:ext cx="5868000" cy="2951999"/>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11</xdr:col>
      <xdr:colOff>0</xdr:colOff>
      <xdr:row>44</xdr:row>
      <xdr:rowOff>0</xdr:rowOff>
    </xdr:from>
    <xdr:ext cx="5868000" cy="2951999"/>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gosai" refreshedDate="46304.638376273149" createdVersion="3" refreshedVersion="8" recordCount="200" xr:uid="{00000000-000A-0000-FFFF-FFFF01000000}">
  <cacheSource type="worksheet">
    <worksheetSource ref="A1:I201" sheet="Dataset"/>
  </cacheSource>
  <cacheFields count="9">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4">
      <sharedItems containsSemiMixedTypes="0" containsString="0" containsNumber="1" minValue="258.51" maxValue="1923.66"/>
    </cacheField>
    <cacheField name="Quantity" numFmtId="1">
      <sharedItems containsSemiMixedTypes="0" containsString="0" containsNumber="1" containsInteger="1" minValue="1" maxValue="19"/>
    </cacheField>
    <cacheField name="Discount" numFmtId="9">
      <sharedItems containsSemiMixedTypes="0" containsString="0" containsNumber="1" minValue="0" maxValue="0.2"/>
    </cacheField>
    <cacheField name="Order_Date" numFmtId="165">
      <sharedItems containsSemiMixedTypes="0" containsNonDate="0" containsDate="1" containsString="0" minDate="2024-04-10T00:00:00" maxDate="2025-04-08T00:00:00"/>
    </cacheField>
    <cacheField name="Profit" numFmtId="4">
      <sharedItems containsSemiMixedTypes="0" containsString="0" containsNumber="1" minValue="64.63" maxValue="769.4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d v="2024-04-10T00:00:00"/>
    <n v="331.55"/>
  </r>
  <r>
    <s v="CUST012"/>
    <s v="Robert Anderson"/>
    <x v="0"/>
    <x v="1"/>
    <n v="1101.28"/>
    <n v="3"/>
    <n v="0.2"/>
    <d v="2024-04-11T00:00:00"/>
    <n v="440.51"/>
  </r>
  <r>
    <s v="CUST017"/>
    <s v="James Taylor"/>
    <x v="1"/>
    <x v="0"/>
    <n v="713.34"/>
    <n v="17"/>
    <n v="0"/>
    <d v="2024-04-14T00:00:00"/>
    <n v="285.33999999999997"/>
  </r>
  <r>
    <s v="CUST005"/>
    <s v="Robert Anderson"/>
    <x v="2"/>
    <x v="2"/>
    <n v="760.93"/>
    <n v="4"/>
    <n v="0.15"/>
    <d v="2024-04-14T00:00:00"/>
    <n v="161.69999999999999"/>
  </r>
  <r>
    <s v="CUST030"/>
    <s v="James Wilson"/>
    <x v="3"/>
    <x v="0"/>
    <n v="847"/>
    <n v="12"/>
    <n v="0.2"/>
    <d v="2024-04-15T00:00:00"/>
    <n v="271.04000000000002"/>
  </r>
  <r>
    <s v="CUST007"/>
    <s v="Michael Anderson"/>
    <x v="3"/>
    <x v="3"/>
    <n v="965.64"/>
    <n v="8"/>
    <n v="0.1"/>
    <d v="2024-04-16T00:00:00"/>
    <n v="304.18"/>
  </r>
  <r>
    <s v="CUST001"/>
    <s v="Linda Wilson"/>
    <x v="0"/>
    <x v="2"/>
    <n v="1317.53"/>
    <n v="12"/>
    <n v="0.05"/>
    <d v="2024-04-16T00:00:00"/>
    <n v="312.91000000000003"/>
  </r>
  <r>
    <s v="CUST026"/>
    <s v="Mary Davis"/>
    <x v="1"/>
    <x v="3"/>
    <n v="1074.47"/>
    <n v="6"/>
    <n v="0.2"/>
    <d v="2024-04-19T00:00:00"/>
    <n v="300.85000000000002"/>
  </r>
  <r>
    <s v="CUST009"/>
    <s v="Linda Jackson"/>
    <x v="4"/>
    <x v="0"/>
    <n v="501.54"/>
    <n v="11"/>
    <n v="0.05"/>
    <d v="2024-04-19T00:00:00"/>
    <n v="190.59"/>
  </r>
  <r>
    <s v="CUST010"/>
    <s v="David Thomas"/>
    <x v="4"/>
    <x v="1"/>
    <n v="737.31"/>
    <n v="2"/>
    <n v="0.05"/>
    <d v="2024-04-19T00:00:00"/>
    <n v="350.22"/>
  </r>
  <r>
    <s v="CUST014"/>
    <s v="Emma Davis"/>
    <x v="0"/>
    <x v="4"/>
    <n v="1572.82"/>
    <n v="6"/>
    <n v="0.05"/>
    <d v="2024-04-20T00:00:00"/>
    <n v="672.38"/>
  </r>
  <r>
    <s v="CUST014"/>
    <s v="David Thomas"/>
    <x v="4"/>
    <x v="0"/>
    <n v="1343.13"/>
    <n v="14"/>
    <n v="0.15"/>
    <d v="2024-04-22T00:00:00"/>
    <n v="456.66"/>
  </r>
  <r>
    <s v="CUST007"/>
    <s v="Michael Anderson"/>
    <x v="4"/>
    <x v="0"/>
    <n v="1191.58"/>
    <n v="14"/>
    <n v="0.05"/>
    <d v="2024-04-24T00:00:00"/>
    <n v="452.8"/>
  </r>
  <r>
    <s v="CUST023"/>
    <s v="Robert Anderson"/>
    <x v="0"/>
    <x v="3"/>
    <n v="822.28"/>
    <n v="7"/>
    <n v="0.05"/>
    <d v="2024-04-24T00:00:00"/>
    <n v="273.41000000000003"/>
  </r>
  <r>
    <s v="CUST029"/>
    <s v="David Smith"/>
    <x v="3"/>
    <x v="3"/>
    <n v="521.66999999999996"/>
    <n v="15"/>
    <n v="0.15"/>
    <d v="2024-04-27T00:00:00"/>
    <n v="155.19999999999999"/>
  </r>
  <r>
    <s v="CUST005"/>
    <s v="Sarah Anderson"/>
    <x v="2"/>
    <x v="2"/>
    <n v="1502.93"/>
    <n v="14"/>
    <n v="0.2"/>
    <d v="2024-04-28T00:00:00"/>
    <n v="300.58999999999997"/>
  </r>
  <r>
    <s v="CUST008"/>
    <s v="Robert Anderson"/>
    <x v="2"/>
    <x v="0"/>
    <n v="877.58"/>
    <n v="10"/>
    <n v="0.15"/>
    <d v="2024-04-29T00:00:00"/>
    <n v="298.38"/>
  </r>
  <r>
    <s v="CUST001"/>
    <s v="Lisa Thomas"/>
    <x v="0"/>
    <x v="0"/>
    <n v="636.70000000000005"/>
    <n v="4"/>
    <n v="0.2"/>
    <d v="2024-04-29T00:00:00"/>
    <n v="203.74"/>
  </r>
  <r>
    <s v="CUST006"/>
    <s v="Mary Jackson"/>
    <x v="0"/>
    <x v="0"/>
    <n v="1506.14"/>
    <n v="13"/>
    <n v="0.2"/>
    <d v="2024-04-30T00:00:00"/>
    <n v="481.96"/>
  </r>
  <r>
    <s v="CUST026"/>
    <s v="Mary Davis"/>
    <x v="4"/>
    <x v="2"/>
    <n v="645.02"/>
    <n v="4"/>
    <n v="0"/>
    <d v="2024-05-02T00:00:00"/>
    <n v="161.26"/>
  </r>
  <r>
    <s v="CUST007"/>
    <s v="Lisa Davis"/>
    <x v="2"/>
    <x v="1"/>
    <n v="953.3"/>
    <n v="11"/>
    <n v="0"/>
    <d v="2024-05-03T00:00:00"/>
    <n v="476.65"/>
  </r>
  <r>
    <s v="CUST022"/>
    <s v="Robert Anderson"/>
    <x v="3"/>
    <x v="2"/>
    <n v="388.56"/>
    <n v="14"/>
    <n v="0.15"/>
    <d v="2024-05-04T00:00:00"/>
    <n v="82.57"/>
  </r>
  <r>
    <s v="CUST019"/>
    <s v="Mary Davis"/>
    <x v="0"/>
    <x v="0"/>
    <n v="743.17"/>
    <n v="9"/>
    <n v="0"/>
    <d v="2024-05-04T00:00:00"/>
    <n v="297.27"/>
  </r>
  <r>
    <s v="CUST023"/>
    <s v="Mary Davis"/>
    <x v="4"/>
    <x v="2"/>
    <n v="706.37"/>
    <n v="6"/>
    <n v="0"/>
    <d v="2024-05-04T00:00:00"/>
    <n v="176.59"/>
  </r>
  <r>
    <s v="CUST012"/>
    <s v="Mary Davis"/>
    <x v="4"/>
    <x v="4"/>
    <n v="925.31"/>
    <n v="8"/>
    <n v="0.1"/>
    <d v="2024-05-06T00:00:00"/>
    <n v="374.75"/>
  </r>
  <r>
    <s v="CUST010"/>
    <s v="Linda Brown"/>
    <x v="2"/>
    <x v="2"/>
    <n v="1173.1199999999999"/>
    <n v="18"/>
    <n v="0"/>
    <d v="2024-05-06T00:00:00"/>
    <n v="293.27999999999997"/>
  </r>
  <r>
    <s v="CUST030"/>
    <s v="John Brown"/>
    <x v="3"/>
    <x v="3"/>
    <n v="675.54"/>
    <n v="17"/>
    <n v="0"/>
    <d v="2024-05-08T00:00:00"/>
    <n v="236.44"/>
  </r>
  <r>
    <s v="CUST007"/>
    <s v="Robert Anderson"/>
    <x v="4"/>
    <x v="0"/>
    <n v="939.09"/>
    <n v="2"/>
    <n v="0.05"/>
    <d v="2024-05-10T00:00:00"/>
    <n v="356.85"/>
  </r>
  <r>
    <s v="CUST028"/>
    <s v="Linda Taylor"/>
    <x v="1"/>
    <x v="4"/>
    <n v="983.34"/>
    <n v="19"/>
    <n v="0.1"/>
    <d v="2024-05-14T00:00:00"/>
    <n v="398.25"/>
  </r>
  <r>
    <s v="CUST028"/>
    <s v="James Wilson"/>
    <x v="2"/>
    <x v="2"/>
    <n v="801.21"/>
    <n v="3"/>
    <n v="0.2"/>
    <d v="2024-05-14T00:00:00"/>
    <n v="160.24"/>
  </r>
  <r>
    <s v="CUST025"/>
    <s v="David Brown"/>
    <x v="3"/>
    <x v="2"/>
    <n v="1450.71"/>
    <n v="5"/>
    <n v="0.1"/>
    <d v="2024-05-15T00:00:00"/>
    <n v="326.41000000000003"/>
  </r>
  <r>
    <s v="CUST022"/>
    <s v="David Davis"/>
    <x v="4"/>
    <x v="0"/>
    <n v="1023.21"/>
    <n v="18"/>
    <n v="0.05"/>
    <d v="2024-05-16T00:00:00"/>
    <n v="388.82"/>
  </r>
  <r>
    <s v="CUST001"/>
    <s v="Mary Jackson"/>
    <x v="0"/>
    <x v="3"/>
    <n v="853.72"/>
    <n v="5"/>
    <n v="0.15"/>
    <d v="2024-05-16T00:00:00"/>
    <n v="253.98"/>
  </r>
  <r>
    <s v="CUST021"/>
    <s v="Sarah Anderson"/>
    <x v="2"/>
    <x v="2"/>
    <n v="967.89"/>
    <n v="10"/>
    <n v="0.1"/>
    <d v="2024-05-17T00:00:00"/>
    <n v="217.78"/>
  </r>
  <r>
    <s v="CUST015"/>
    <s v="Linda Taylor"/>
    <x v="3"/>
    <x v="4"/>
    <n v="1200.9000000000001"/>
    <n v="14"/>
    <n v="0.05"/>
    <d v="2024-05-17T00:00:00"/>
    <n v="513.38"/>
  </r>
  <r>
    <s v="CUST012"/>
    <s v="Michael Anderson"/>
    <x v="0"/>
    <x v="0"/>
    <n v="472.38"/>
    <n v="12"/>
    <n v="0.2"/>
    <d v="2024-05-17T00:00:00"/>
    <n v="151.16"/>
  </r>
  <r>
    <s v="CUST019"/>
    <s v="David Brown"/>
    <x v="1"/>
    <x v="4"/>
    <n v="840.92"/>
    <n v="9"/>
    <n v="0.05"/>
    <d v="2024-05-17T00:00:00"/>
    <n v="359.49"/>
  </r>
  <r>
    <s v="CUST028"/>
    <s v="Lisa Davis"/>
    <x v="4"/>
    <x v="3"/>
    <n v="1410.06"/>
    <n v="11"/>
    <n v="0.05"/>
    <d v="2024-05-22T00:00:00"/>
    <n v="468.84"/>
  </r>
  <r>
    <s v="CUST008"/>
    <s v="Mary Wilson"/>
    <x v="4"/>
    <x v="3"/>
    <n v="773.09"/>
    <n v="13"/>
    <n v="0.15"/>
    <d v="2024-05-22T00:00:00"/>
    <n v="229.99"/>
  </r>
  <r>
    <s v="CUST016"/>
    <s v="Emma Wilson"/>
    <x v="1"/>
    <x v="0"/>
    <n v="580.42999999999995"/>
    <n v="19"/>
    <n v="0.15"/>
    <d v="2024-05-23T00:00:00"/>
    <n v="197.35"/>
  </r>
  <r>
    <s v="CUST005"/>
    <s v="David Smith"/>
    <x v="2"/>
    <x v="0"/>
    <n v="1151.21"/>
    <n v="15"/>
    <n v="0.1"/>
    <d v="2024-06-02T00:00:00"/>
    <n v="414.44"/>
  </r>
  <r>
    <s v="CUST028"/>
    <s v="James Wilson"/>
    <x v="4"/>
    <x v="4"/>
    <n v="1025.98"/>
    <n v="5"/>
    <n v="0.2"/>
    <d v="2024-06-04T00:00:00"/>
    <n v="369.35"/>
  </r>
  <r>
    <s v="CUST023"/>
    <s v="David Davis"/>
    <x v="1"/>
    <x v="4"/>
    <n v="556.41999999999996"/>
    <n v="11"/>
    <n v="0.15"/>
    <d v="2024-06-04T00:00:00"/>
    <n v="212.83"/>
  </r>
  <r>
    <s v="CUST021"/>
    <s v="James Wilson"/>
    <x v="4"/>
    <x v="0"/>
    <n v="840.85"/>
    <n v="19"/>
    <n v="0.1"/>
    <d v="2024-06-05T00:00:00"/>
    <n v="302.70999999999998"/>
  </r>
  <r>
    <s v="CUST026"/>
    <s v="Emma Wilson"/>
    <x v="3"/>
    <x v="3"/>
    <n v="1227.25"/>
    <n v="12"/>
    <n v="0.15"/>
    <d v="2024-06-05T00:00:00"/>
    <n v="365.11"/>
  </r>
  <r>
    <s v="CUST017"/>
    <s v="Linda Davis"/>
    <x v="4"/>
    <x v="2"/>
    <n v="856.7"/>
    <n v="2"/>
    <n v="0"/>
    <d v="2024-06-06T00:00:00"/>
    <n v="214.18"/>
  </r>
  <r>
    <s v="CUST025"/>
    <s v="David Davis"/>
    <x v="4"/>
    <x v="4"/>
    <n v="1225.42"/>
    <n v="8"/>
    <n v="0.15"/>
    <d v="2024-06-06T00:00:00"/>
    <n v="468.72"/>
  </r>
  <r>
    <s v="CUST011"/>
    <s v="Mary Davis"/>
    <x v="3"/>
    <x v="4"/>
    <n v="1001.57"/>
    <n v="12"/>
    <n v="0"/>
    <d v="2024-06-07T00:00:00"/>
    <n v="450.71"/>
  </r>
  <r>
    <s v="CUST021"/>
    <s v="Michael Anderson"/>
    <x v="1"/>
    <x v="3"/>
    <n v="1186.8499999999999"/>
    <n v="19"/>
    <n v="0.2"/>
    <d v="2024-06-08T00:00:00"/>
    <n v="332.32"/>
  </r>
  <r>
    <s v="CUST008"/>
    <s v="John Brown"/>
    <x v="2"/>
    <x v="2"/>
    <n v="775.45"/>
    <n v="6"/>
    <n v="0.1"/>
    <d v="2024-06-14T00:00:00"/>
    <n v="174.48"/>
  </r>
  <r>
    <s v="CUST007"/>
    <s v="Linda Jackson"/>
    <x v="2"/>
    <x v="2"/>
    <n v="1021.47"/>
    <n v="6"/>
    <n v="0.05"/>
    <d v="2024-06-18T00:00:00"/>
    <n v="242.6"/>
  </r>
  <r>
    <s v="CUST015"/>
    <s v="James Wilson"/>
    <x v="2"/>
    <x v="1"/>
    <n v="1226.6199999999999"/>
    <n v="7"/>
    <n v="0.1"/>
    <d v="2024-06-20T00:00:00"/>
    <n v="551.98"/>
  </r>
  <r>
    <s v="CUST030"/>
    <s v="Sarah Davis"/>
    <x v="2"/>
    <x v="3"/>
    <n v="1086.93"/>
    <n v="2"/>
    <n v="0"/>
    <d v="2024-06-21T00:00:00"/>
    <n v="380.43"/>
  </r>
  <r>
    <s v="CUST002"/>
    <s v="Lisa Davis"/>
    <x v="0"/>
    <x v="0"/>
    <n v="942.9"/>
    <n v="18"/>
    <n v="0.1"/>
    <d v="2024-06-23T00:00:00"/>
    <n v="339.44"/>
  </r>
  <r>
    <s v="CUST009"/>
    <s v="Emma Davis"/>
    <x v="3"/>
    <x v="2"/>
    <n v="818.8"/>
    <n v="15"/>
    <n v="0.15"/>
    <d v="2024-06-25T00:00:00"/>
    <n v="173.99"/>
  </r>
  <r>
    <s v="CUST005"/>
    <s v="Robert Anderson"/>
    <x v="2"/>
    <x v="3"/>
    <n v="919.04"/>
    <n v="10"/>
    <n v="0.2"/>
    <d v="2024-06-25T00:00:00"/>
    <n v="257.33"/>
  </r>
  <r>
    <s v="CUST030"/>
    <s v="Emma Taylor"/>
    <x v="4"/>
    <x v="0"/>
    <n v="973.26"/>
    <n v="11"/>
    <n v="0"/>
    <d v="2024-06-27T00:00:00"/>
    <n v="389.3"/>
  </r>
  <r>
    <s v="CUST029"/>
    <s v="Sarah Davis"/>
    <x v="3"/>
    <x v="2"/>
    <n v="741.61"/>
    <n v="1"/>
    <n v="0.2"/>
    <d v="2024-06-28T00:00:00"/>
    <n v="148.32"/>
  </r>
  <r>
    <s v="CUST003"/>
    <s v="Emma Davis"/>
    <x v="3"/>
    <x v="0"/>
    <n v="1248.82"/>
    <n v="2"/>
    <n v="0.1"/>
    <d v="2024-06-30T00:00:00"/>
    <n v="449.58"/>
  </r>
  <r>
    <s v="CUST012"/>
    <s v="Mary Wilson"/>
    <x v="0"/>
    <x v="1"/>
    <n v="1360.36"/>
    <n v="17"/>
    <n v="0"/>
    <d v="2024-06-30T00:00:00"/>
    <n v="680.18"/>
  </r>
  <r>
    <s v="CUST021"/>
    <s v="Mary Davis"/>
    <x v="1"/>
    <x v="0"/>
    <n v="1383.3"/>
    <n v="8"/>
    <n v="0.1"/>
    <d v="2024-07-05T00:00:00"/>
    <n v="497.99"/>
  </r>
  <r>
    <s v="CUST010"/>
    <s v="David Brown"/>
    <x v="4"/>
    <x v="4"/>
    <n v="488.99"/>
    <n v="9"/>
    <n v="0"/>
    <d v="2024-07-06T00:00:00"/>
    <n v="220.05"/>
  </r>
  <r>
    <s v="CUST026"/>
    <s v="Mary Davis"/>
    <x v="1"/>
    <x v="3"/>
    <n v="933.71"/>
    <n v="17"/>
    <n v="0.1"/>
    <d v="2024-07-08T00:00:00"/>
    <n v="294.12"/>
  </r>
  <r>
    <s v="CUST003"/>
    <s v="James Davis"/>
    <x v="0"/>
    <x v="2"/>
    <n v="1005.53"/>
    <n v="17"/>
    <n v="0.2"/>
    <d v="2024-07-08T00:00:00"/>
    <n v="201.11"/>
  </r>
  <r>
    <s v="CUST029"/>
    <s v="Emma Wilson"/>
    <x v="2"/>
    <x v="2"/>
    <n v="1100.0999999999999"/>
    <n v="5"/>
    <n v="0.05"/>
    <d v="2024-07-09T00:00:00"/>
    <n v="261.27"/>
  </r>
  <r>
    <s v="CUST003"/>
    <s v="James Wilson"/>
    <x v="3"/>
    <x v="3"/>
    <n v="1034.7"/>
    <n v="15"/>
    <n v="0.15"/>
    <d v="2024-07-14T00:00:00"/>
    <n v="307.82"/>
  </r>
  <r>
    <s v="CUST002"/>
    <s v="Mary Davis"/>
    <x v="2"/>
    <x v="0"/>
    <n v="876.44"/>
    <n v="12"/>
    <n v="0.05"/>
    <d v="2024-07-15T00:00:00"/>
    <n v="333.05"/>
  </r>
  <r>
    <s v="CUST020"/>
    <s v="David Brown"/>
    <x v="0"/>
    <x v="3"/>
    <n v="1371.34"/>
    <n v="5"/>
    <n v="0.05"/>
    <d v="2024-07-15T00:00:00"/>
    <n v="455.97"/>
  </r>
  <r>
    <s v="CUST021"/>
    <s v="Mary Jackson"/>
    <x v="3"/>
    <x v="2"/>
    <n v="1020.26"/>
    <n v="11"/>
    <n v="0.05"/>
    <d v="2024-07-21T00:00:00"/>
    <n v="242.31"/>
  </r>
  <r>
    <s v="CUST008"/>
    <s v="James Davis"/>
    <x v="4"/>
    <x v="4"/>
    <n v="804.81"/>
    <n v="1"/>
    <n v="0.05"/>
    <d v="2024-07-29T00:00:00"/>
    <n v="344.06"/>
  </r>
  <r>
    <s v="CUST030"/>
    <s v="David Brown"/>
    <x v="4"/>
    <x v="2"/>
    <n v="608.66"/>
    <n v="1"/>
    <n v="0.05"/>
    <d v="2024-07-30T00:00:00"/>
    <n v="144.56"/>
  </r>
  <r>
    <s v="CUST020"/>
    <s v="Linda Moore"/>
    <x v="2"/>
    <x v="4"/>
    <n v="981.2"/>
    <n v="19"/>
    <n v="0"/>
    <d v="2024-07-31T00:00:00"/>
    <n v="441.54"/>
  </r>
  <r>
    <s v="CUST024"/>
    <s v="David Brown"/>
    <x v="1"/>
    <x v="2"/>
    <n v="539.77"/>
    <n v="10"/>
    <n v="0.15"/>
    <d v="2024-08-05T00:00:00"/>
    <n v="114.7"/>
  </r>
  <r>
    <s v="CUST012"/>
    <s v="David Anderson"/>
    <x v="2"/>
    <x v="0"/>
    <n v="804.45"/>
    <n v="5"/>
    <n v="0.2"/>
    <d v="2024-08-05T00:00:00"/>
    <n v="257.42"/>
  </r>
  <r>
    <s v="CUST024"/>
    <s v="Emma Davis"/>
    <x v="0"/>
    <x v="2"/>
    <n v="1526.6"/>
    <n v="13"/>
    <n v="0.2"/>
    <d v="2024-08-08T00:00:00"/>
    <n v="305.32"/>
  </r>
  <r>
    <s v="CUST012"/>
    <s v="Linda Wilson"/>
    <x v="0"/>
    <x v="2"/>
    <n v="1215.26"/>
    <n v="5"/>
    <n v="0.15"/>
    <d v="2024-08-09T00:00:00"/>
    <n v="258.24"/>
  </r>
  <r>
    <s v="CUST005"/>
    <s v="Linda Taylor"/>
    <x v="4"/>
    <x v="3"/>
    <n v="1261.3399999999999"/>
    <n v="3"/>
    <n v="0"/>
    <d v="2024-08-15T00:00:00"/>
    <n v="441.47"/>
  </r>
  <r>
    <s v="CUST004"/>
    <s v="Lisa Thomas"/>
    <x v="3"/>
    <x v="3"/>
    <n v="518.07000000000005"/>
    <n v="7"/>
    <n v="0.05"/>
    <d v="2024-08-18T00:00:00"/>
    <n v="172.26"/>
  </r>
  <r>
    <s v="CUST026"/>
    <s v="Linda Wilson"/>
    <x v="0"/>
    <x v="4"/>
    <n v="1111.3399999999999"/>
    <n v="1"/>
    <n v="0"/>
    <d v="2024-08-19T00:00:00"/>
    <n v="500.1"/>
  </r>
  <r>
    <s v="CUST030"/>
    <s v="Mary Davis"/>
    <x v="1"/>
    <x v="1"/>
    <n v="1291.47"/>
    <n v="18"/>
    <n v="0.1"/>
    <d v="2024-08-22T00:00:00"/>
    <n v="581.16"/>
  </r>
  <r>
    <s v="CUST007"/>
    <s v="David Brown"/>
    <x v="3"/>
    <x v="0"/>
    <n v="679.71"/>
    <n v="19"/>
    <n v="0"/>
    <d v="2024-08-30T00:00:00"/>
    <n v="271.88"/>
  </r>
  <r>
    <s v="CUST020"/>
    <s v="Linda Jackson"/>
    <x v="1"/>
    <x v="3"/>
    <n v="1143.69"/>
    <n v="17"/>
    <n v="0"/>
    <d v="2024-08-30T00:00:00"/>
    <n v="400.29"/>
  </r>
  <r>
    <s v="CUST028"/>
    <s v="Linda Brown"/>
    <x v="4"/>
    <x v="2"/>
    <n v="790.08"/>
    <n v="7"/>
    <n v="0.1"/>
    <d v="2024-09-01T00:00:00"/>
    <n v="177.77"/>
  </r>
  <r>
    <s v="CUST005"/>
    <s v="Lisa Davis"/>
    <x v="4"/>
    <x v="0"/>
    <n v="1070.68"/>
    <n v="7"/>
    <n v="0.05"/>
    <d v="2024-09-01T00:00:00"/>
    <n v="406.86"/>
  </r>
  <r>
    <s v="CUST015"/>
    <s v="David Thomas"/>
    <x v="0"/>
    <x v="1"/>
    <n v="1168.8900000000001"/>
    <n v="4"/>
    <n v="0.1"/>
    <d v="2024-09-09T00:00:00"/>
    <n v="526"/>
  </r>
  <r>
    <s v="CUST003"/>
    <s v="James Davis"/>
    <x v="2"/>
    <x v="2"/>
    <n v="1335.87"/>
    <n v="17"/>
    <n v="0"/>
    <d v="2024-09-09T00:00:00"/>
    <n v="333.97"/>
  </r>
  <r>
    <s v="CUST023"/>
    <s v="David Brown"/>
    <x v="1"/>
    <x v="3"/>
    <n v="873.7"/>
    <n v="9"/>
    <n v="0"/>
    <d v="2024-09-11T00:00:00"/>
    <n v="305.8"/>
  </r>
  <r>
    <s v="CUST004"/>
    <s v="Sarah Davis"/>
    <x v="0"/>
    <x v="4"/>
    <n v="1443.98"/>
    <n v="19"/>
    <n v="0"/>
    <d v="2024-09-12T00:00:00"/>
    <n v="649.79"/>
  </r>
  <r>
    <s v="CUST023"/>
    <s v="James Wilson"/>
    <x v="1"/>
    <x v="4"/>
    <n v="1154.33"/>
    <n v="11"/>
    <n v="0.15"/>
    <d v="2024-09-14T00:00:00"/>
    <n v="441.53"/>
  </r>
  <r>
    <s v="CUST022"/>
    <s v="Linda Brown"/>
    <x v="2"/>
    <x v="0"/>
    <n v="1264.49"/>
    <n v="16"/>
    <n v="0.05"/>
    <d v="2024-09-14T00:00:00"/>
    <n v="480.51"/>
  </r>
  <r>
    <s v="CUST007"/>
    <s v="Emma Taylor"/>
    <x v="0"/>
    <x v="3"/>
    <n v="1101.55"/>
    <n v="4"/>
    <n v="0.1"/>
    <d v="2024-09-16T00:00:00"/>
    <n v="346.99"/>
  </r>
  <r>
    <s v="CUST013"/>
    <s v="Robert Anderson"/>
    <x v="2"/>
    <x v="3"/>
    <n v="727.73"/>
    <n v="1"/>
    <n v="0.1"/>
    <d v="2024-09-17T00:00:00"/>
    <n v="229.23"/>
  </r>
  <r>
    <s v="CUST027"/>
    <s v="Emma Davis"/>
    <x v="1"/>
    <x v="4"/>
    <n v="875.41"/>
    <n v="13"/>
    <n v="0.15"/>
    <d v="2024-09-17T00:00:00"/>
    <n v="334.84"/>
  </r>
  <r>
    <s v="CUST003"/>
    <s v="James Wilson"/>
    <x v="0"/>
    <x v="2"/>
    <n v="1158.94"/>
    <n v="19"/>
    <n v="0.2"/>
    <d v="2024-09-18T00:00:00"/>
    <n v="231.79"/>
  </r>
  <r>
    <s v="CUST018"/>
    <s v="Mary Jackson"/>
    <x v="2"/>
    <x v="0"/>
    <n v="966.3"/>
    <n v="2"/>
    <n v="0.15"/>
    <d v="2024-09-22T00:00:00"/>
    <n v="328.54"/>
  </r>
  <r>
    <s v="CUST020"/>
    <s v="James Taylor"/>
    <x v="2"/>
    <x v="0"/>
    <n v="917.48"/>
    <n v="6"/>
    <n v="0"/>
    <d v="2024-09-23T00:00:00"/>
    <n v="366.99"/>
  </r>
  <r>
    <s v="CUST029"/>
    <s v="Emma Wilson"/>
    <x v="0"/>
    <x v="3"/>
    <n v="1172.97"/>
    <n v="7"/>
    <n v="0.15"/>
    <d v="2024-09-24T00:00:00"/>
    <n v="348.96"/>
  </r>
  <r>
    <s v="CUST021"/>
    <s v="James Wilson"/>
    <x v="3"/>
    <x v="1"/>
    <n v="1205.82"/>
    <n v="11"/>
    <n v="0.1"/>
    <d v="2024-09-24T00:00:00"/>
    <n v="542.62"/>
  </r>
  <r>
    <s v="CUST017"/>
    <s v="Sarah Davis"/>
    <x v="0"/>
    <x v="4"/>
    <n v="826.93"/>
    <n v="10"/>
    <n v="0.2"/>
    <d v="2024-09-29T00:00:00"/>
    <n v="297.69"/>
  </r>
  <r>
    <s v="CUST003"/>
    <s v="James Wilson"/>
    <x v="4"/>
    <x v="1"/>
    <n v="902.19"/>
    <n v="12"/>
    <n v="0"/>
    <d v="2024-09-29T00:00:00"/>
    <n v="451.1"/>
  </r>
  <r>
    <s v="CUST027"/>
    <s v="Emma Davis"/>
    <x v="3"/>
    <x v="0"/>
    <n v="585.97"/>
    <n v="17"/>
    <n v="0.1"/>
    <d v="2024-09-30T00:00:00"/>
    <n v="210.95"/>
  </r>
  <r>
    <s v="CUST016"/>
    <s v="Michael Anderson"/>
    <x v="3"/>
    <x v="1"/>
    <n v="990.19"/>
    <n v="8"/>
    <n v="0.1"/>
    <d v="2024-09-30T00:00:00"/>
    <n v="445.59"/>
  </r>
  <r>
    <s v="CUST008"/>
    <s v="David Davis"/>
    <x v="4"/>
    <x v="2"/>
    <n v="1014.09"/>
    <n v="13"/>
    <n v="0.2"/>
    <d v="2024-10-02T00:00:00"/>
    <n v="202.82"/>
  </r>
  <r>
    <s v="CUST012"/>
    <s v="Lisa Davis"/>
    <x v="3"/>
    <x v="2"/>
    <n v="925.29"/>
    <n v="17"/>
    <n v="0"/>
    <d v="2024-10-05T00:00:00"/>
    <n v="231.32"/>
  </r>
  <r>
    <s v="CUST025"/>
    <s v="Mary Jackson"/>
    <x v="1"/>
    <x v="3"/>
    <n v="1286.54"/>
    <n v="8"/>
    <n v="0"/>
    <d v="2024-10-10T00:00:00"/>
    <n v="450.29"/>
  </r>
  <r>
    <s v="CUST014"/>
    <s v="Sarah Davis"/>
    <x v="2"/>
    <x v="0"/>
    <n v="961.62"/>
    <n v="8"/>
    <n v="0.2"/>
    <d v="2024-10-12T00:00:00"/>
    <n v="307.72000000000003"/>
  </r>
  <r>
    <s v="CUST008"/>
    <s v="James Wilson"/>
    <x v="1"/>
    <x v="0"/>
    <n v="1081.1400000000001"/>
    <n v="19"/>
    <n v="0.15"/>
    <d v="2024-10-12T00:00:00"/>
    <n v="367.59"/>
  </r>
  <r>
    <s v="CUST015"/>
    <s v="James Wilson"/>
    <x v="0"/>
    <x v="1"/>
    <n v="1923.66"/>
    <n v="9"/>
    <n v="0.2"/>
    <d v="2024-10-15T00:00:00"/>
    <n v="769.46"/>
  </r>
  <r>
    <s v="CUST025"/>
    <s v="Emma Taylor"/>
    <x v="4"/>
    <x v="1"/>
    <n v="728.71"/>
    <n v="14"/>
    <n v="0.1"/>
    <d v="2024-10-16T00:00:00"/>
    <n v="327.92"/>
  </r>
  <r>
    <s v="CUST019"/>
    <s v="Linda Jackson"/>
    <x v="4"/>
    <x v="1"/>
    <n v="1301.8900000000001"/>
    <n v="7"/>
    <n v="0.15"/>
    <d v="2024-10-16T00:00:00"/>
    <n v="553.29999999999995"/>
  </r>
  <r>
    <s v="CUST024"/>
    <s v="Emma Taylor"/>
    <x v="1"/>
    <x v="0"/>
    <n v="980.18"/>
    <n v="16"/>
    <n v="0.1"/>
    <d v="2024-10-17T00:00:00"/>
    <n v="352.86"/>
  </r>
  <r>
    <s v="CUST027"/>
    <s v="James Wilson"/>
    <x v="0"/>
    <x v="1"/>
    <n v="697.57"/>
    <n v="17"/>
    <n v="0.1"/>
    <d v="2024-10-19T00:00:00"/>
    <n v="313.91000000000003"/>
  </r>
  <r>
    <s v="CUST006"/>
    <s v="David Anderson"/>
    <x v="0"/>
    <x v="3"/>
    <n v="1193.6099999999999"/>
    <n v="1"/>
    <n v="0.15"/>
    <d v="2024-10-19T00:00:00"/>
    <n v="355.1"/>
  </r>
  <r>
    <s v="CUST009"/>
    <s v="Emma Davis"/>
    <x v="2"/>
    <x v="2"/>
    <n v="771.02"/>
    <n v="1"/>
    <n v="0"/>
    <d v="2024-10-20T00:00:00"/>
    <n v="192.76"/>
  </r>
  <r>
    <s v="CUST003"/>
    <s v="Linda Moore"/>
    <x v="3"/>
    <x v="1"/>
    <n v="661.09"/>
    <n v="1"/>
    <n v="0.2"/>
    <d v="2024-10-28T00:00:00"/>
    <n v="264.44"/>
  </r>
  <r>
    <s v="CUST012"/>
    <s v="David Brown"/>
    <x v="0"/>
    <x v="2"/>
    <n v="688.83"/>
    <n v="15"/>
    <n v="0"/>
    <d v="2024-10-30T00:00:00"/>
    <n v="172.21"/>
  </r>
  <r>
    <s v="CUST013"/>
    <s v="Linda Wilson"/>
    <x v="4"/>
    <x v="0"/>
    <n v="1249.0999999999999"/>
    <n v="4"/>
    <n v="0.05"/>
    <d v="2024-11-01T00:00:00"/>
    <n v="474.66"/>
  </r>
  <r>
    <s v="CUST008"/>
    <s v="James Wilson"/>
    <x v="1"/>
    <x v="4"/>
    <n v="1014.22"/>
    <n v="14"/>
    <n v="0.05"/>
    <d v="2024-11-03T00:00:00"/>
    <n v="433.58"/>
  </r>
  <r>
    <s v="CUST025"/>
    <s v="Lisa Davis"/>
    <x v="1"/>
    <x v="0"/>
    <n v="1010.58"/>
    <n v="2"/>
    <n v="0.15"/>
    <d v="2024-11-09T00:00:00"/>
    <n v="343.6"/>
  </r>
  <r>
    <s v="CUST026"/>
    <s v="Mary Wilson"/>
    <x v="3"/>
    <x v="3"/>
    <n v="957.29"/>
    <n v="4"/>
    <n v="0.05"/>
    <d v="2024-11-09T00:00:00"/>
    <n v="318.3"/>
  </r>
  <r>
    <s v="CUST001"/>
    <s v="Lisa Thomas"/>
    <x v="3"/>
    <x v="3"/>
    <n v="1077.92"/>
    <n v="3"/>
    <n v="0.05"/>
    <d v="2024-11-12T00:00:00"/>
    <n v="358.41"/>
  </r>
  <r>
    <s v="CUST028"/>
    <s v="Linda Brown"/>
    <x v="2"/>
    <x v="1"/>
    <n v="1163.01"/>
    <n v="5"/>
    <n v="0"/>
    <d v="2024-11-15T00:00:00"/>
    <n v="581.5"/>
  </r>
  <r>
    <s v="CUST025"/>
    <s v="Lisa Thomas"/>
    <x v="1"/>
    <x v="4"/>
    <n v="1014.56"/>
    <n v="10"/>
    <n v="0.1"/>
    <d v="2024-11-16T00:00:00"/>
    <n v="410.9"/>
  </r>
  <r>
    <s v="CUST019"/>
    <s v="James Taylor"/>
    <x v="2"/>
    <x v="2"/>
    <n v="718.04"/>
    <n v="14"/>
    <n v="0"/>
    <d v="2024-11-17T00:00:00"/>
    <n v="179.51"/>
  </r>
  <r>
    <s v="CUST004"/>
    <s v="James Taylor"/>
    <x v="4"/>
    <x v="1"/>
    <n v="1277.8499999999999"/>
    <n v="18"/>
    <n v="0.2"/>
    <d v="2024-11-17T00:00:00"/>
    <n v="511.14"/>
  </r>
  <r>
    <s v="CUST024"/>
    <s v="James Wilson"/>
    <x v="3"/>
    <x v="2"/>
    <n v="706.73"/>
    <n v="1"/>
    <n v="0.15"/>
    <d v="2024-11-17T00:00:00"/>
    <n v="150.18"/>
  </r>
  <r>
    <s v="CUST002"/>
    <s v="Linda Brown"/>
    <x v="1"/>
    <x v="2"/>
    <n v="1410.59"/>
    <n v="15"/>
    <n v="0"/>
    <d v="2024-11-19T00:00:00"/>
    <n v="352.65"/>
  </r>
  <r>
    <s v="CUST009"/>
    <s v="Emma Wilson"/>
    <x v="2"/>
    <x v="3"/>
    <n v="1350.33"/>
    <n v="10"/>
    <n v="0"/>
    <d v="2024-11-19T00:00:00"/>
    <n v="472.62"/>
  </r>
  <r>
    <s v="CUST029"/>
    <s v="Lisa Thomas"/>
    <x v="1"/>
    <x v="2"/>
    <n v="919.18"/>
    <n v="4"/>
    <n v="0.15"/>
    <d v="2024-11-19T00:00:00"/>
    <n v="195.33"/>
  </r>
  <r>
    <s v="CUST027"/>
    <s v="James Wilson"/>
    <x v="0"/>
    <x v="2"/>
    <n v="258.51"/>
    <n v="19"/>
    <n v="0"/>
    <d v="2024-11-20T00:00:00"/>
    <n v="64.63"/>
  </r>
  <r>
    <s v="CUST011"/>
    <s v="Emma Wilson"/>
    <x v="1"/>
    <x v="0"/>
    <n v="1213.48"/>
    <n v="5"/>
    <n v="0.05"/>
    <d v="2024-11-20T00:00:00"/>
    <n v="461.12"/>
  </r>
  <r>
    <s v="CUST021"/>
    <s v="Emma Davis"/>
    <x v="4"/>
    <x v="0"/>
    <n v="1150.28"/>
    <n v="8"/>
    <n v="0.05"/>
    <d v="2024-11-26T00:00:00"/>
    <n v="437.11"/>
  </r>
  <r>
    <s v="CUST014"/>
    <s v="David Anderson"/>
    <x v="2"/>
    <x v="3"/>
    <n v="853.86"/>
    <n v="8"/>
    <n v="0.1"/>
    <d v="2024-11-26T00:00:00"/>
    <n v="268.97000000000003"/>
  </r>
  <r>
    <s v="CUST018"/>
    <s v="Lisa Thomas"/>
    <x v="2"/>
    <x v="2"/>
    <n v="1061.04"/>
    <n v="1"/>
    <n v="0"/>
    <d v="2024-11-28T00:00:00"/>
    <n v="265.26"/>
  </r>
  <r>
    <s v="CUST001"/>
    <s v="Sarah Anderson"/>
    <x v="0"/>
    <x v="2"/>
    <n v="894.55"/>
    <n v="19"/>
    <n v="0.2"/>
    <d v="2024-11-29T00:00:00"/>
    <n v="178.91"/>
  </r>
  <r>
    <s v="CUST007"/>
    <s v="Emma Davis"/>
    <x v="3"/>
    <x v="4"/>
    <n v="833.91"/>
    <n v="3"/>
    <n v="0.05"/>
    <d v="2024-11-30T00:00:00"/>
    <n v="356.5"/>
  </r>
  <r>
    <s v="CUST015"/>
    <s v="David Anderson"/>
    <x v="0"/>
    <x v="3"/>
    <n v="820.19"/>
    <n v="4"/>
    <n v="0.2"/>
    <d v="2024-12-04T00:00:00"/>
    <n v="229.65"/>
  </r>
  <r>
    <s v="CUST015"/>
    <s v="Emma Davis"/>
    <x v="4"/>
    <x v="2"/>
    <n v="511.74"/>
    <n v="8"/>
    <n v="0.05"/>
    <d v="2024-12-05T00:00:00"/>
    <n v="121.54"/>
  </r>
  <r>
    <s v="CUST002"/>
    <s v="Emma Wilson"/>
    <x v="2"/>
    <x v="3"/>
    <n v="806.03"/>
    <n v="19"/>
    <n v="0.05"/>
    <d v="2024-12-12T00:00:00"/>
    <n v="268"/>
  </r>
  <r>
    <s v="CUST001"/>
    <s v="Michael Anderson"/>
    <x v="4"/>
    <x v="3"/>
    <n v="1432.47"/>
    <n v="16"/>
    <n v="0.15"/>
    <d v="2024-12-14T00:00:00"/>
    <n v="426.16"/>
  </r>
  <r>
    <s v="CUST027"/>
    <s v="Linda Wilson"/>
    <x v="4"/>
    <x v="2"/>
    <n v="1488.58"/>
    <n v="10"/>
    <n v="0.15"/>
    <d v="2024-12-14T00:00:00"/>
    <n v="316.32"/>
  </r>
  <r>
    <s v="CUST026"/>
    <s v="Emma Taylor"/>
    <x v="1"/>
    <x v="0"/>
    <n v="1231.26"/>
    <n v="9"/>
    <n v="0"/>
    <d v="2024-12-20T00:00:00"/>
    <n v="492.5"/>
  </r>
  <r>
    <s v="CUST026"/>
    <s v="Sarah Anderson"/>
    <x v="0"/>
    <x v="2"/>
    <n v="1161.67"/>
    <n v="19"/>
    <n v="0.2"/>
    <d v="2024-12-21T00:00:00"/>
    <n v="232.33"/>
  </r>
  <r>
    <s v="CUST022"/>
    <s v="Lisa Thomas"/>
    <x v="4"/>
    <x v="4"/>
    <n v="388.23"/>
    <n v="16"/>
    <n v="0.05"/>
    <d v="2024-12-24T00:00:00"/>
    <n v="165.97"/>
  </r>
  <r>
    <s v="CUST004"/>
    <s v="Mary Davis"/>
    <x v="3"/>
    <x v="1"/>
    <n v="1589.42"/>
    <n v="6"/>
    <n v="0.15"/>
    <d v="2024-12-25T00:00:00"/>
    <n v="675.5"/>
  </r>
  <r>
    <s v="CUST001"/>
    <s v="David Anderson"/>
    <x v="3"/>
    <x v="1"/>
    <n v="336.66"/>
    <n v="13"/>
    <n v="0.2"/>
    <d v="2024-12-25T00:00:00"/>
    <n v="134.66"/>
  </r>
  <r>
    <s v="CUST022"/>
    <s v="James Wilson"/>
    <x v="0"/>
    <x v="0"/>
    <n v="1353.79"/>
    <n v="14"/>
    <n v="0.1"/>
    <d v="2024-12-30T00:00:00"/>
    <n v="487.36"/>
  </r>
  <r>
    <s v="CUST011"/>
    <s v="Linda Moore"/>
    <x v="4"/>
    <x v="1"/>
    <n v="662.61"/>
    <n v="11"/>
    <n v="0.05"/>
    <d v="2025-01-01T00:00:00"/>
    <n v="314.74"/>
  </r>
  <r>
    <s v="CUST028"/>
    <s v="Lisa Davis"/>
    <x v="3"/>
    <x v="4"/>
    <n v="309.42"/>
    <n v="1"/>
    <n v="0.2"/>
    <d v="2025-01-01T00:00:00"/>
    <n v="111.39"/>
  </r>
  <r>
    <s v="CUST011"/>
    <s v="Linda Wilson"/>
    <x v="3"/>
    <x v="0"/>
    <n v="884.63"/>
    <n v="18"/>
    <n v="0.1"/>
    <d v="2025-01-02T00:00:00"/>
    <n v="318.47000000000003"/>
  </r>
  <r>
    <s v="CUST028"/>
    <s v="James Wilson"/>
    <x v="4"/>
    <x v="4"/>
    <n v="745.05"/>
    <n v="10"/>
    <n v="0.1"/>
    <d v="2025-01-03T00:00:00"/>
    <n v="301.75"/>
  </r>
  <r>
    <s v="CUST016"/>
    <s v="James Taylor"/>
    <x v="2"/>
    <x v="1"/>
    <n v="870.23"/>
    <n v="5"/>
    <n v="0.05"/>
    <d v="2025-01-03T00:00:00"/>
    <n v="413.36"/>
  </r>
  <r>
    <s v="CUST010"/>
    <s v="Linda Wilson"/>
    <x v="0"/>
    <x v="3"/>
    <n v="862.19"/>
    <n v="18"/>
    <n v="0.05"/>
    <d v="2025-01-06T00:00:00"/>
    <n v="286.68"/>
  </r>
  <r>
    <s v="CUST013"/>
    <s v="Mary Wilson"/>
    <x v="3"/>
    <x v="1"/>
    <n v="1171.18"/>
    <n v="19"/>
    <n v="0.05"/>
    <d v="2025-01-10T00:00:00"/>
    <n v="556.30999999999995"/>
  </r>
  <r>
    <s v="CUST015"/>
    <s v="Robert Anderson"/>
    <x v="2"/>
    <x v="3"/>
    <n v="1054.56"/>
    <n v="11"/>
    <n v="0.1"/>
    <d v="2025-01-12T00:00:00"/>
    <n v="332.19"/>
  </r>
  <r>
    <s v="CUST015"/>
    <s v="James Wilson"/>
    <x v="3"/>
    <x v="2"/>
    <n v="1681.21"/>
    <n v="5"/>
    <n v="0.2"/>
    <d v="2025-01-13T00:00:00"/>
    <n v="336.24"/>
  </r>
  <r>
    <s v="CUST015"/>
    <s v="David Thomas"/>
    <x v="0"/>
    <x v="1"/>
    <n v="379.77"/>
    <n v="9"/>
    <n v="0.05"/>
    <d v="2025-01-16T00:00:00"/>
    <n v="180.39"/>
  </r>
  <r>
    <s v="CUST008"/>
    <s v="Lisa Thomas"/>
    <x v="4"/>
    <x v="1"/>
    <n v="1076.33"/>
    <n v="2"/>
    <n v="0.1"/>
    <d v="2025-01-17T00:00:00"/>
    <n v="484.35"/>
  </r>
  <r>
    <s v="CUST008"/>
    <s v="Mary Davis"/>
    <x v="4"/>
    <x v="4"/>
    <n v="1250.71"/>
    <n v="7"/>
    <n v="0"/>
    <d v="2025-01-17T00:00:00"/>
    <n v="562.82000000000005"/>
  </r>
  <r>
    <s v="CUST023"/>
    <s v="James Taylor"/>
    <x v="2"/>
    <x v="1"/>
    <n v="1118.3399999999999"/>
    <n v="6"/>
    <n v="0.2"/>
    <d v="2025-01-17T00:00:00"/>
    <n v="447.34"/>
  </r>
  <r>
    <s v="CUST024"/>
    <s v="Linda Taylor"/>
    <x v="3"/>
    <x v="1"/>
    <n v="1622.62"/>
    <n v="12"/>
    <n v="0.2"/>
    <d v="2025-01-20T00:00:00"/>
    <n v="649.04999999999995"/>
  </r>
  <r>
    <s v="CUST018"/>
    <s v="Lisa Davis"/>
    <x v="3"/>
    <x v="0"/>
    <n v="640.64"/>
    <n v="11"/>
    <n v="0.2"/>
    <d v="2025-01-21T00:00:00"/>
    <n v="205"/>
  </r>
  <r>
    <s v="CUST030"/>
    <s v="Sarah Anderson"/>
    <x v="0"/>
    <x v="1"/>
    <n v="585.16"/>
    <n v="17"/>
    <n v="0.1"/>
    <d v="2025-01-27T00:00:00"/>
    <n v="263.32"/>
  </r>
  <r>
    <s v="CUST030"/>
    <s v="Mary Davis"/>
    <x v="1"/>
    <x v="1"/>
    <n v="1109.98"/>
    <n v="5"/>
    <n v="0.2"/>
    <d v="2025-02-02T00:00:00"/>
    <n v="443.99"/>
  </r>
  <r>
    <s v="CUST015"/>
    <s v="Lisa Thomas"/>
    <x v="1"/>
    <x v="0"/>
    <n v="1098.08"/>
    <n v="9"/>
    <n v="0.1"/>
    <d v="2025-02-04T00:00:00"/>
    <n v="395.31"/>
  </r>
  <r>
    <s v="CUST002"/>
    <s v="Lisa Davis"/>
    <x v="0"/>
    <x v="4"/>
    <n v="827.25"/>
    <n v="7"/>
    <n v="0.1"/>
    <d v="2025-02-05T00:00:00"/>
    <n v="335.04"/>
  </r>
  <r>
    <s v="CUST024"/>
    <s v="Linda Wilson"/>
    <x v="4"/>
    <x v="1"/>
    <n v="741.88"/>
    <n v="16"/>
    <n v="0.1"/>
    <d v="2025-02-07T00:00:00"/>
    <n v="333.85"/>
  </r>
  <r>
    <s v="CUST004"/>
    <s v="James Davis"/>
    <x v="1"/>
    <x v="4"/>
    <n v="1311.26"/>
    <n v="6"/>
    <n v="0.1"/>
    <d v="2025-02-10T00:00:00"/>
    <n v="531.05999999999995"/>
  </r>
  <r>
    <s v="CUST004"/>
    <s v="Mary Davis"/>
    <x v="2"/>
    <x v="4"/>
    <n v="573.32000000000005"/>
    <n v="19"/>
    <n v="0.1"/>
    <d v="2025-02-15T00:00:00"/>
    <n v="232.19"/>
  </r>
  <r>
    <s v="CUST028"/>
    <s v="James Wilson"/>
    <x v="0"/>
    <x v="2"/>
    <n v="1115.22"/>
    <n v="14"/>
    <n v="0.2"/>
    <d v="2025-02-17T00:00:00"/>
    <n v="223.04"/>
  </r>
  <r>
    <s v="CUST012"/>
    <s v="Lisa Thomas"/>
    <x v="3"/>
    <x v="1"/>
    <n v="845.84"/>
    <n v="4"/>
    <n v="0"/>
    <d v="2025-02-19T00:00:00"/>
    <n v="422.92"/>
  </r>
  <r>
    <s v="CUST026"/>
    <s v="David Brown"/>
    <x v="0"/>
    <x v="2"/>
    <n v="1029.8"/>
    <n v="3"/>
    <n v="0"/>
    <d v="2025-02-20T00:00:00"/>
    <n v="257.45"/>
  </r>
  <r>
    <s v="CUST009"/>
    <s v="Mary Davis"/>
    <x v="3"/>
    <x v="0"/>
    <n v="1189.83"/>
    <n v="2"/>
    <n v="0.2"/>
    <d v="2025-02-21T00:00:00"/>
    <n v="380.75"/>
  </r>
  <r>
    <s v="CUST003"/>
    <s v="Sarah Anderson"/>
    <x v="2"/>
    <x v="0"/>
    <n v="704.28"/>
    <n v="15"/>
    <n v="0.2"/>
    <d v="2025-02-24T00:00:00"/>
    <n v="225.37"/>
  </r>
  <r>
    <s v="CUST002"/>
    <s v="Mary Jackson"/>
    <x v="4"/>
    <x v="4"/>
    <n v="1618.22"/>
    <n v="12"/>
    <n v="0.2"/>
    <d v="2025-02-24T00:00:00"/>
    <n v="582.55999999999995"/>
  </r>
  <r>
    <s v="CUST013"/>
    <s v="Linda Taylor"/>
    <x v="4"/>
    <x v="0"/>
    <n v="1014.43"/>
    <n v="2"/>
    <n v="0.15"/>
    <d v="2025-02-25T00:00:00"/>
    <n v="344.91"/>
  </r>
  <r>
    <s v="CUST018"/>
    <s v="Mary Davis"/>
    <x v="4"/>
    <x v="1"/>
    <n v="826.97"/>
    <n v="18"/>
    <n v="0.2"/>
    <d v="2025-02-27T00:00:00"/>
    <n v="330.79"/>
  </r>
  <r>
    <s v="CUST017"/>
    <s v="Mary Davis"/>
    <x v="4"/>
    <x v="1"/>
    <n v="1022.23"/>
    <n v="8"/>
    <n v="0.1"/>
    <d v="2025-03-01T00:00:00"/>
    <n v="460"/>
  </r>
  <r>
    <s v="CUST004"/>
    <s v="Linda Wilson"/>
    <x v="1"/>
    <x v="0"/>
    <n v="1099.69"/>
    <n v="6"/>
    <n v="0"/>
    <d v="2025-03-02T00:00:00"/>
    <n v="439.88"/>
  </r>
  <r>
    <s v="CUST028"/>
    <s v="Sarah Davis"/>
    <x v="3"/>
    <x v="0"/>
    <n v="710.52"/>
    <n v="8"/>
    <n v="0.1"/>
    <d v="2025-03-05T00:00:00"/>
    <n v="255.79"/>
  </r>
  <r>
    <s v="CUST028"/>
    <s v="Mary Wilson"/>
    <x v="3"/>
    <x v="0"/>
    <n v="499.18"/>
    <n v="15"/>
    <n v="0.2"/>
    <d v="2025-03-08T00:00:00"/>
    <n v="159.74"/>
  </r>
  <r>
    <s v="CUST014"/>
    <s v="Emma Davis"/>
    <x v="2"/>
    <x v="0"/>
    <n v="1064.19"/>
    <n v="18"/>
    <n v="0.05"/>
    <d v="2025-03-09T00:00:00"/>
    <n v="404.39"/>
  </r>
  <r>
    <s v="CUST003"/>
    <s v="Emma Davis"/>
    <x v="1"/>
    <x v="4"/>
    <n v="438.76"/>
    <n v="18"/>
    <n v="0.05"/>
    <d v="2025-03-10T00:00:00"/>
    <n v="187.57"/>
  </r>
  <r>
    <s v="CUST029"/>
    <s v="David Brown"/>
    <x v="0"/>
    <x v="1"/>
    <n v="864.98"/>
    <n v="2"/>
    <n v="0.05"/>
    <d v="2025-03-11T00:00:00"/>
    <n v="410.87"/>
  </r>
  <r>
    <s v="CUST021"/>
    <s v="David Brown"/>
    <x v="0"/>
    <x v="3"/>
    <n v="984.93"/>
    <n v="14"/>
    <n v="0.2"/>
    <d v="2025-03-17T00:00:00"/>
    <n v="275.77999999999997"/>
  </r>
  <r>
    <s v="CUST007"/>
    <s v="David Brown"/>
    <x v="0"/>
    <x v="1"/>
    <n v="1493.49"/>
    <n v="18"/>
    <n v="0"/>
    <d v="2025-03-18T00:00:00"/>
    <n v="746.74"/>
  </r>
  <r>
    <s v="CUST009"/>
    <s v="Linda Taylor"/>
    <x v="2"/>
    <x v="1"/>
    <n v="689.43"/>
    <n v="9"/>
    <n v="0.1"/>
    <d v="2025-03-20T00:00:00"/>
    <n v="310.24"/>
  </r>
  <r>
    <s v="CUST023"/>
    <s v="Mary Wilson"/>
    <x v="2"/>
    <x v="1"/>
    <n v="682.24"/>
    <n v="1"/>
    <n v="0"/>
    <d v="2025-03-22T00:00:00"/>
    <n v="341.12"/>
  </r>
  <r>
    <s v="CUST029"/>
    <s v="Michael Anderson"/>
    <x v="3"/>
    <x v="2"/>
    <n v="458.54"/>
    <n v="15"/>
    <n v="0.2"/>
    <d v="2025-03-25T00:00:00"/>
    <n v="91.71"/>
  </r>
  <r>
    <s v="CUST009"/>
    <s v="Michael Anderson"/>
    <x v="2"/>
    <x v="3"/>
    <n v="1184.25"/>
    <n v="11"/>
    <n v="0.2"/>
    <d v="2025-03-26T00:00:00"/>
    <n v="331.59"/>
  </r>
  <r>
    <s v="CUST007"/>
    <s v="James Davis"/>
    <x v="2"/>
    <x v="1"/>
    <n v="762.14"/>
    <n v="9"/>
    <n v="0"/>
    <d v="2025-03-27T00:00:00"/>
    <n v="381.07"/>
  </r>
  <r>
    <s v="CUST030"/>
    <s v="Linda Taylor"/>
    <x v="3"/>
    <x v="0"/>
    <n v="750.71"/>
    <n v="10"/>
    <n v="0.15"/>
    <d v="2025-03-27T00:00:00"/>
    <n v="255.24"/>
  </r>
  <r>
    <s v="CUST018"/>
    <s v="David Anderson"/>
    <x v="4"/>
    <x v="1"/>
    <n v="1456.94"/>
    <n v="14"/>
    <n v="0.05"/>
    <d v="2025-03-29T00:00:00"/>
    <n v="692.05"/>
  </r>
  <r>
    <s v="CUST008"/>
    <s v="Emma Wilson"/>
    <x v="1"/>
    <x v="3"/>
    <n v="1093.3800000000001"/>
    <n v="17"/>
    <n v="0.1"/>
    <d v="2025-03-29T00:00:00"/>
    <n v="344.41"/>
  </r>
  <r>
    <s v="CUST014"/>
    <s v="Sarah Anderson"/>
    <x v="0"/>
    <x v="1"/>
    <n v="934.27"/>
    <n v="8"/>
    <n v="0.15"/>
    <d v="2025-03-30T00:00:00"/>
    <n v="397.06"/>
  </r>
  <r>
    <s v="CUST024"/>
    <s v="David Thomas"/>
    <x v="4"/>
    <x v="1"/>
    <n v="1465.35"/>
    <n v="8"/>
    <n v="0.2"/>
    <d v="2025-03-30T00:00:00"/>
    <n v="586.14"/>
  </r>
  <r>
    <s v="CUST028"/>
    <s v="Robert Anderson"/>
    <x v="2"/>
    <x v="4"/>
    <n v="740.8"/>
    <n v="3"/>
    <n v="0"/>
    <d v="2025-04-02T00:00:00"/>
    <n v="333.36"/>
  </r>
  <r>
    <s v="CUST015"/>
    <s v="Sarah Anderson"/>
    <x v="0"/>
    <x v="4"/>
    <n v="545.44000000000005"/>
    <n v="17"/>
    <n v="0"/>
    <d v="2025-04-05T00:00:00"/>
    <n v="245.45"/>
  </r>
  <r>
    <s v="CUST010"/>
    <s v="David Thomas"/>
    <x v="1"/>
    <x v="0"/>
    <n v="997.61"/>
    <n v="8"/>
    <n v="0.05"/>
    <d v="2025-04-05T00:00:00"/>
    <n v="379.09"/>
  </r>
  <r>
    <s v="CUST016"/>
    <s v="David Thomas"/>
    <x v="2"/>
    <x v="1"/>
    <n v="928.32"/>
    <n v="2"/>
    <n v="0.05"/>
    <d v="2025-04-07T00:00:00"/>
    <n v="44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SalesRegionProduct" cacheId="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55:G62" firstHeaderRow="1" firstDataRow="2" firstDataCol="1"/>
  <pivotFields count="9">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showAll="0"/>
    <pivotField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numFmtId="3"/>
  </dataField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ProductSummary" cacheId="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66:C73" firstHeaderRow="1" firstDataRow="2" firstDataCol="1"/>
  <pivotFields count="9">
    <pivotField showAll="0"/>
    <pivotField showAll="0"/>
    <pivotField showAll="0"/>
    <pivotField axis="axisRow" showAll="0">
      <items count="6">
        <item x="0"/>
        <item x="1"/>
        <item x="2"/>
        <item x="3"/>
        <item x="4"/>
        <item t="default"/>
      </items>
    </pivotField>
    <pivotField dataField="1" showAll="0"/>
    <pivotField showAll="0"/>
    <pivotField showAll="0"/>
    <pivotField showAll="0"/>
    <pivotField dataField="1" showAll="0"/>
  </pivotFields>
  <rowFields count="1">
    <field x="3"/>
  </rowFields>
  <rowItems count="6">
    <i>
      <x/>
    </i>
    <i>
      <x v="1"/>
    </i>
    <i>
      <x v="2"/>
    </i>
    <i>
      <x v="3"/>
    </i>
    <i>
      <x v="4"/>
    </i>
    <i t="grand">
      <x/>
    </i>
  </rowItems>
  <colFields count="1">
    <field x="-2"/>
  </colFields>
  <colItems count="2">
    <i>
      <x/>
    </i>
    <i i="1">
      <x v="1"/>
    </i>
  </colItems>
  <dataFields count="2">
    <dataField name="Sum of Sales" fld="4" baseField="0" baseItem="0" numFmtId="3"/>
    <dataField name="Sum of Profit" fld="8" baseField="0" baseItem="0" numFmtId="3"/>
  </dataField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workbookViewId="0"/>
  </sheetViews>
  <sheetFormatPr defaultColWidth="14.44140625" defaultRowHeight="15" customHeight="1" x14ac:dyDescent="0.3"/>
  <cols>
    <col min="1" max="1" width="74.88671875" customWidth="1"/>
    <col min="2" max="26" width="8.6640625" customWidth="1"/>
  </cols>
  <sheetData>
    <row r="1" spans="1:26" ht="14.4" x14ac:dyDescent="0.3">
      <c r="A1" s="2" t="s">
        <v>0</v>
      </c>
      <c r="B1" s="3"/>
      <c r="C1" s="3"/>
      <c r="D1" s="3"/>
      <c r="E1" s="3"/>
      <c r="F1" s="3"/>
      <c r="G1" s="3"/>
      <c r="H1" s="3"/>
      <c r="I1" s="3"/>
      <c r="J1" s="3"/>
      <c r="K1" s="3"/>
      <c r="L1" s="3"/>
      <c r="M1" s="3"/>
      <c r="N1" s="3"/>
      <c r="O1" s="3"/>
      <c r="P1" s="3"/>
      <c r="Q1" s="3"/>
      <c r="R1" s="3"/>
      <c r="S1" s="3"/>
      <c r="T1" s="3"/>
      <c r="U1" s="3"/>
      <c r="V1" s="3"/>
      <c r="W1" s="3"/>
      <c r="X1" s="3"/>
      <c r="Y1" s="3"/>
      <c r="Z1" s="3"/>
    </row>
    <row r="2" spans="1:26" ht="14.4" x14ac:dyDescent="0.3">
      <c r="A2" s="4" t="s">
        <v>1</v>
      </c>
      <c r="B2" s="3"/>
      <c r="C2" s="3"/>
      <c r="D2" s="3"/>
      <c r="E2" s="3"/>
      <c r="F2" s="3"/>
      <c r="G2" s="3"/>
      <c r="H2" s="3"/>
      <c r="I2" s="3"/>
      <c r="J2" s="3"/>
      <c r="K2" s="3"/>
      <c r="L2" s="3"/>
      <c r="M2" s="3"/>
      <c r="N2" s="3"/>
      <c r="O2" s="3"/>
      <c r="P2" s="3"/>
      <c r="Q2" s="3"/>
      <c r="R2" s="3"/>
      <c r="S2" s="3"/>
      <c r="T2" s="3"/>
      <c r="U2" s="3"/>
      <c r="V2" s="3"/>
      <c r="W2" s="3"/>
      <c r="X2" s="3"/>
      <c r="Y2" s="3"/>
      <c r="Z2" s="3"/>
    </row>
    <row r="3" spans="1:26" ht="14.4" x14ac:dyDescent="0.3">
      <c r="A3" s="3"/>
      <c r="B3" s="3"/>
      <c r="C3" s="3"/>
      <c r="D3" s="3"/>
      <c r="E3" s="3"/>
      <c r="F3" s="3"/>
      <c r="G3" s="3"/>
      <c r="H3" s="3"/>
      <c r="I3" s="3"/>
      <c r="J3" s="3"/>
      <c r="K3" s="3"/>
      <c r="L3" s="3"/>
      <c r="M3" s="3"/>
      <c r="N3" s="3"/>
      <c r="O3" s="3"/>
      <c r="P3" s="3"/>
      <c r="Q3" s="3"/>
      <c r="R3" s="3"/>
      <c r="S3" s="3"/>
      <c r="T3" s="3"/>
      <c r="U3" s="3"/>
      <c r="V3" s="3"/>
      <c r="W3" s="3"/>
      <c r="X3" s="3"/>
      <c r="Y3" s="3"/>
      <c r="Z3" s="3"/>
    </row>
    <row r="4" spans="1:26" ht="15.75" customHeight="1" x14ac:dyDescent="0.3">
      <c r="A4" s="3"/>
      <c r="B4" s="3"/>
      <c r="C4" s="3"/>
      <c r="D4" s="3"/>
      <c r="E4" s="3"/>
      <c r="F4" s="3"/>
      <c r="G4" s="3"/>
      <c r="H4" s="3"/>
      <c r="I4" s="3"/>
      <c r="J4" s="3"/>
      <c r="K4" s="3"/>
      <c r="L4" s="3"/>
      <c r="M4" s="3"/>
      <c r="N4" s="3"/>
      <c r="O4" s="3"/>
      <c r="P4" s="3"/>
      <c r="Q4" s="3"/>
      <c r="R4" s="3"/>
      <c r="S4" s="3"/>
      <c r="T4" s="3"/>
      <c r="U4" s="3"/>
      <c r="V4" s="3"/>
      <c r="W4" s="3"/>
      <c r="X4" s="3"/>
      <c r="Y4" s="3"/>
      <c r="Z4" s="3"/>
    </row>
    <row r="5" spans="1:26" ht="15.75" customHeight="1" x14ac:dyDescent="0.3">
      <c r="A5" s="3"/>
      <c r="B5" s="3"/>
      <c r="C5" s="3"/>
      <c r="D5" s="3"/>
      <c r="E5" s="3"/>
      <c r="F5" s="3"/>
      <c r="G5" s="3"/>
      <c r="H5" s="3"/>
      <c r="I5" s="3"/>
      <c r="J5" s="3"/>
      <c r="K5" s="3"/>
      <c r="L5" s="3"/>
      <c r="M5" s="3"/>
      <c r="N5" s="3"/>
      <c r="O5" s="3"/>
      <c r="P5" s="3"/>
      <c r="Q5" s="3"/>
      <c r="R5" s="3"/>
      <c r="S5" s="3"/>
      <c r="T5" s="3"/>
      <c r="U5" s="3"/>
      <c r="V5" s="3"/>
      <c r="W5" s="3"/>
      <c r="X5" s="3"/>
      <c r="Y5" s="3"/>
      <c r="Z5" s="3"/>
    </row>
    <row r="6" spans="1:26" ht="15.75" customHeight="1" x14ac:dyDescent="0.3">
      <c r="A6" s="3"/>
      <c r="B6" s="3"/>
      <c r="C6" s="3"/>
      <c r="D6" s="3"/>
      <c r="E6" s="3"/>
      <c r="F6" s="3"/>
      <c r="G6" s="3"/>
      <c r="H6" s="3"/>
      <c r="I6" s="3"/>
      <c r="J6" s="3"/>
      <c r="K6" s="3"/>
      <c r="L6" s="3"/>
      <c r="M6" s="3"/>
      <c r="N6" s="3"/>
      <c r="O6" s="3"/>
      <c r="P6" s="3"/>
      <c r="Q6" s="3"/>
      <c r="R6" s="3"/>
      <c r="S6" s="3"/>
      <c r="T6" s="3"/>
      <c r="U6" s="3"/>
      <c r="V6" s="3"/>
      <c r="W6" s="3"/>
      <c r="X6" s="3"/>
      <c r="Y6" s="3"/>
      <c r="Z6" s="3"/>
    </row>
    <row r="7" spans="1:26" ht="15.7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15.75" customHeight="1" x14ac:dyDescent="0.3">
      <c r="A8" s="3"/>
      <c r="B8" s="3"/>
      <c r="C8" s="3"/>
      <c r="D8" s="3"/>
      <c r="E8" s="3"/>
      <c r="F8" s="3"/>
      <c r="G8" s="3"/>
      <c r="H8" s="3"/>
      <c r="I8" s="3"/>
      <c r="J8" s="3"/>
      <c r="K8" s="3"/>
      <c r="L8" s="3"/>
      <c r="M8" s="3"/>
      <c r="N8" s="3"/>
      <c r="O8" s="3"/>
      <c r="P8" s="3"/>
      <c r="Q8" s="3"/>
      <c r="R8" s="3"/>
      <c r="S8" s="3"/>
      <c r="T8" s="3"/>
      <c r="U8" s="3"/>
      <c r="V8" s="3"/>
      <c r="W8" s="3"/>
      <c r="X8" s="3"/>
      <c r="Y8" s="3"/>
      <c r="Z8" s="3"/>
    </row>
    <row r="9" spans="1:26" ht="15.75" customHeight="1" x14ac:dyDescent="0.3">
      <c r="A9" s="3"/>
      <c r="B9" s="3"/>
      <c r="C9" s="3"/>
      <c r="D9" s="3"/>
      <c r="E9" s="3"/>
      <c r="F9" s="3"/>
      <c r="G9" s="3"/>
      <c r="H9" s="3"/>
      <c r="I9" s="3"/>
      <c r="J9" s="3"/>
      <c r="K9" s="3"/>
      <c r="L9" s="3"/>
      <c r="M9" s="3"/>
      <c r="N9" s="3"/>
      <c r="O9" s="3"/>
      <c r="P9" s="3"/>
      <c r="Q9" s="3"/>
      <c r="R9" s="3"/>
      <c r="S9" s="3"/>
      <c r="T9" s="3"/>
      <c r="U9" s="3"/>
      <c r="V9" s="3"/>
      <c r="W9" s="3"/>
      <c r="X9" s="3"/>
      <c r="Y9" s="3"/>
      <c r="Z9" s="3"/>
    </row>
    <row r="10" spans="1:26" ht="15.75" customHeight="1" x14ac:dyDescent="0.3">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x14ac:dyDescent="0.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x14ac:dyDescent="0.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x14ac:dyDescent="0.3">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x14ac:dyDescent="0.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5597"/>
    <pageSetUpPr fitToPage="1"/>
  </sheetPr>
  <dimension ref="A1:AG1000"/>
  <sheetViews>
    <sheetView workbookViewId="0">
      <pane xSplit="2" ySplit="1" topLeftCell="C2" activePane="bottomRight" state="frozen"/>
      <selection pane="topRight"/>
      <selection pane="bottomLeft"/>
      <selection pane="bottomRight"/>
    </sheetView>
  </sheetViews>
  <sheetFormatPr defaultColWidth="14.44140625" defaultRowHeight="15" customHeight="1" x14ac:dyDescent="0.3"/>
  <cols>
    <col min="1" max="1" width="12" customWidth="1"/>
    <col min="2" max="2" width="18" customWidth="1"/>
    <col min="3" max="3" width="10" customWidth="1"/>
    <col min="4" max="4" width="16" customWidth="1"/>
    <col min="5" max="5" width="11" customWidth="1"/>
    <col min="6" max="7" width="10" customWidth="1"/>
    <col min="8" max="8" width="13" customWidth="1"/>
    <col min="9" max="9" width="10" customWidth="1"/>
    <col min="10" max="10" width="15" customWidth="1"/>
    <col min="11" max="11" width="12" customWidth="1"/>
    <col min="12" max="12" width="15" customWidth="1"/>
    <col min="13" max="14" width="12" customWidth="1"/>
    <col min="15" max="15" width="11" customWidth="1"/>
    <col min="16" max="16" width="12" customWidth="1"/>
    <col min="17" max="17" width="13" customWidth="1"/>
    <col min="18" max="18" width="22" customWidth="1"/>
    <col min="19" max="19" width="3" customWidth="1"/>
    <col min="20" max="20" width="34" customWidth="1"/>
    <col min="21" max="21" width="14" customWidth="1"/>
    <col min="22" max="22" width="24" customWidth="1"/>
    <col min="23" max="23" width="14" customWidth="1"/>
    <col min="24" max="24" width="24" customWidth="1"/>
    <col min="25" max="25" width="14" customWidth="1"/>
    <col min="26" max="26" width="24" customWidth="1"/>
    <col min="27" max="28" width="14" customWidth="1"/>
    <col min="29" max="29" width="3" customWidth="1"/>
    <col min="30" max="30" width="12" customWidth="1"/>
    <col min="31" max="31" width="16" customWidth="1"/>
    <col min="32" max="32" width="14" customWidth="1"/>
    <col min="33" max="33" width="18" customWidth="1"/>
  </cols>
  <sheetData>
    <row r="1" spans="1:28" ht="34.049999999999997" customHeight="1" x14ac:dyDescent="0.3">
      <c r="A1" s="5" t="s">
        <v>2</v>
      </c>
      <c r="B1" s="5" t="s">
        <v>3</v>
      </c>
      <c r="C1" s="5" t="s">
        <v>4</v>
      </c>
      <c r="D1" s="5" t="s">
        <v>5</v>
      </c>
      <c r="E1" s="5" t="s">
        <v>6</v>
      </c>
      <c r="F1" s="5" t="s">
        <v>7</v>
      </c>
      <c r="G1" s="5" t="s">
        <v>8</v>
      </c>
      <c r="H1" s="5" t="s">
        <v>9</v>
      </c>
      <c r="I1" s="5" t="s">
        <v>10</v>
      </c>
      <c r="J1" s="6" t="s">
        <v>11</v>
      </c>
      <c r="K1" s="6" t="s">
        <v>12</v>
      </c>
      <c r="L1" s="6" t="s">
        <v>13</v>
      </c>
      <c r="M1" s="6" t="s">
        <v>14</v>
      </c>
      <c r="N1" s="6" t="s">
        <v>15</v>
      </c>
      <c r="O1" s="6" t="s">
        <v>16</v>
      </c>
      <c r="P1" s="6" t="s">
        <v>17</v>
      </c>
      <c r="Q1" s="6" t="s">
        <v>18</v>
      </c>
      <c r="R1" s="6" t="s">
        <v>19</v>
      </c>
      <c r="S1" s="1"/>
      <c r="T1" s="7" t="s">
        <v>20</v>
      </c>
      <c r="U1" s="8"/>
      <c r="V1" s="8"/>
      <c r="W1" s="8"/>
      <c r="X1" s="8"/>
      <c r="Y1" s="9"/>
      <c r="Z1" s="1"/>
      <c r="AA1" s="7" t="s">
        <v>21</v>
      </c>
      <c r="AB1" s="10"/>
    </row>
    <row r="2" spans="1:28" ht="14.4" x14ac:dyDescent="0.3">
      <c r="A2" s="11" t="s">
        <v>22</v>
      </c>
      <c r="B2" s="12" t="s">
        <v>23</v>
      </c>
      <c r="C2" s="11" t="s">
        <v>24</v>
      </c>
      <c r="D2" s="11" t="s">
        <v>25</v>
      </c>
      <c r="E2" s="13">
        <v>1036.0899999999999</v>
      </c>
      <c r="F2" s="14">
        <v>4</v>
      </c>
      <c r="G2" s="15">
        <v>0.2</v>
      </c>
      <c r="H2" s="16">
        <v>45392</v>
      </c>
      <c r="I2" s="13">
        <v>331.55</v>
      </c>
      <c r="J2" s="17">
        <f t="shared" ref="J2:J33" si="0">SUMIFS($E$2:$E$201,$A$2:$A$201,A2)</f>
        <v>4640.1099999999997</v>
      </c>
      <c r="K2" s="18" t="str">
        <f>IF(INDEX('Pivot Table'!$N$5:$N$34,MATCH(A2,'Pivot Table'!$I$5:$I$34,0))&lt;=10,"Top 10","")</f>
        <v/>
      </c>
      <c r="L2" s="17">
        <f t="shared" ref="L2:L33" si="1">ROUND(E2/(1-G2),2)</f>
        <v>1295.1099999999999</v>
      </c>
      <c r="M2" s="17">
        <f t="shared" ref="M2:M33" si="2">ROUND(L2*(1-$U$3),2)</f>
        <v>1165.5999999999999</v>
      </c>
      <c r="N2" s="17">
        <f t="shared" ref="N2:N33" si="3">ROUND(M2-(E2-I2),2)</f>
        <v>461.06</v>
      </c>
      <c r="O2" s="19">
        <f t="shared" ref="O2:O33" si="4">I2/E2</f>
        <v>0.32000115820054248</v>
      </c>
      <c r="P2" s="20">
        <f t="shared" ref="P2:P33" si="5">DATE(YEAR(H2),MONTH(H2),1)</f>
        <v>45383</v>
      </c>
      <c r="Q2" s="18" t="str">
        <f>IF(J2&gt;='Pivot Table'!$R$4,"High Value","Standard")</f>
        <v>Standard</v>
      </c>
      <c r="R2" s="21">
        <f t="shared" ref="R2:R33" ca="1" si="6">NOW()</f>
        <v>46304.639624537034</v>
      </c>
    </row>
    <row r="3" spans="1:28" ht="14.4" x14ac:dyDescent="0.3">
      <c r="A3" s="11" t="s">
        <v>26</v>
      </c>
      <c r="B3" s="12" t="s">
        <v>27</v>
      </c>
      <c r="C3" s="11" t="s">
        <v>24</v>
      </c>
      <c r="D3" s="11" t="s">
        <v>28</v>
      </c>
      <c r="E3" s="13">
        <v>1101.28</v>
      </c>
      <c r="F3" s="14">
        <v>3</v>
      </c>
      <c r="G3" s="15">
        <v>0.2</v>
      </c>
      <c r="H3" s="16">
        <v>45393</v>
      </c>
      <c r="I3" s="13">
        <v>440.51</v>
      </c>
      <c r="J3" s="17">
        <f t="shared" si="0"/>
        <v>8339</v>
      </c>
      <c r="K3" s="18" t="str">
        <f>IF(INDEX('Pivot Table'!$N$5:$N$34,MATCH(A3,'Pivot Table'!$I$5:$I$34,0))&lt;=10,"Top 10","")</f>
        <v>Top 10</v>
      </c>
      <c r="L3" s="17">
        <f t="shared" si="1"/>
        <v>1376.6</v>
      </c>
      <c r="M3" s="17">
        <f t="shared" si="2"/>
        <v>1238.94</v>
      </c>
      <c r="N3" s="17">
        <f t="shared" si="3"/>
        <v>578.16999999999996</v>
      </c>
      <c r="O3" s="19">
        <f t="shared" si="4"/>
        <v>0.39999818393142528</v>
      </c>
      <c r="P3" s="20">
        <f t="shared" si="5"/>
        <v>45383</v>
      </c>
      <c r="Q3" s="18" t="str">
        <f>IF(J3&gt;='Pivot Table'!$R$4,"High Value","Standard")</f>
        <v>High Value</v>
      </c>
      <c r="R3" s="21">
        <f t="shared" ca="1" si="6"/>
        <v>46304.639624537034</v>
      </c>
      <c r="T3" s="22" t="s">
        <v>29</v>
      </c>
      <c r="U3" s="23">
        <v>0.1</v>
      </c>
      <c r="AA3" s="24" t="s">
        <v>30</v>
      </c>
    </row>
    <row r="4" spans="1:28" ht="14.4" x14ac:dyDescent="0.3">
      <c r="A4" s="11" t="s">
        <v>31</v>
      </c>
      <c r="B4" s="12" t="s">
        <v>32</v>
      </c>
      <c r="C4" s="11" t="s">
        <v>33</v>
      </c>
      <c r="D4" s="11" t="s">
        <v>25</v>
      </c>
      <c r="E4" s="13">
        <v>713.34</v>
      </c>
      <c r="F4" s="14">
        <v>17</v>
      </c>
      <c r="G4" s="15">
        <v>0</v>
      </c>
      <c r="H4" s="16">
        <v>45396</v>
      </c>
      <c r="I4" s="13">
        <v>285.33999999999997</v>
      </c>
      <c r="J4" s="17">
        <f t="shared" si="0"/>
        <v>3419.2</v>
      </c>
      <c r="K4" s="18" t="str">
        <f>IF(INDEX('Pivot Table'!$N$5:$N$34,MATCH(A4,'Pivot Table'!$I$5:$I$34,0))&lt;=10,"Top 10","")</f>
        <v/>
      </c>
      <c r="L4" s="17">
        <f t="shared" si="1"/>
        <v>713.34</v>
      </c>
      <c r="M4" s="17">
        <f t="shared" si="2"/>
        <v>642.01</v>
      </c>
      <c r="N4" s="17">
        <f t="shared" si="3"/>
        <v>214.01</v>
      </c>
      <c r="O4" s="19">
        <f t="shared" si="4"/>
        <v>0.40000560742422964</v>
      </c>
      <c r="P4" s="20">
        <f t="shared" si="5"/>
        <v>45383</v>
      </c>
      <c r="Q4" s="18" t="str">
        <f>IF(J4&gt;='Pivot Table'!$R$4,"High Value","Standard")</f>
        <v>Standard</v>
      </c>
      <c r="R4" s="21">
        <f t="shared" ca="1" si="6"/>
        <v>46304.639624537034</v>
      </c>
      <c r="T4" s="6" t="s">
        <v>34</v>
      </c>
      <c r="U4" s="6" t="s">
        <v>35</v>
      </c>
      <c r="V4" s="6" t="s">
        <v>36</v>
      </c>
      <c r="W4" s="6" t="s">
        <v>37</v>
      </c>
      <c r="X4" s="6" t="s">
        <v>38</v>
      </c>
      <c r="AA4" s="24" t="s">
        <v>39</v>
      </c>
    </row>
    <row r="5" spans="1:28" ht="14.4" x14ac:dyDescent="0.3">
      <c r="A5" s="11" t="s">
        <v>40</v>
      </c>
      <c r="B5" s="12" t="s">
        <v>27</v>
      </c>
      <c r="C5" s="11" t="s">
        <v>41</v>
      </c>
      <c r="D5" s="11" t="s">
        <v>42</v>
      </c>
      <c r="E5" s="13">
        <v>760.93</v>
      </c>
      <c r="F5" s="14">
        <v>4</v>
      </c>
      <c r="G5" s="15">
        <v>0.15</v>
      </c>
      <c r="H5" s="16">
        <v>45396</v>
      </c>
      <c r="I5" s="13">
        <v>161.69999999999999</v>
      </c>
      <c r="J5" s="17">
        <f t="shared" si="0"/>
        <v>6666.130000000001</v>
      </c>
      <c r="K5" s="18" t="str">
        <f>IF(INDEX('Pivot Table'!$N$5:$N$34,MATCH(A5,'Pivot Table'!$I$5:$I$34,0))&lt;=10,"Top 10","")</f>
        <v/>
      </c>
      <c r="L5" s="17">
        <f t="shared" si="1"/>
        <v>895.21</v>
      </c>
      <c r="M5" s="17">
        <f t="shared" si="2"/>
        <v>805.69</v>
      </c>
      <c r="N5" s="17">
        <f t="shared" si="3"/>
        <v>206.46</v>
      </c>
      <c r="O5" s="19">
        <f t="shared" si="4"/>
        <v>0.2125031211806605</v>
      </c>
      <c r="P5" s="20">
        <f t="shared" si="5"/>
        <v>45383</v>
      </c>
      <c r="Q5" s="18" t="str">
        <f>IF(J5&gt;='Pivot Table'!$R$4,"High Value","Standard")</f>
        <v>Standard</v>
      </c>
      <c r="R5" s="21">
        <f t="shared" ca="1" si="6"/>
        <v>46304.639624537034</v>
      </c>
      <c r="T5" s="22" t="s">
        <v>43</v>
      </c>
      <c r="U5" s="25">
        <f>AVERAGE($G$2:$G$201)</f>
        <v>9.7250000000000003E-2</v>
      </c>
      <c r="V5" s="25">
        <f>U3</f>
        <v>0.1</v>
      </c>
      <c r="W5" s="25">
        <f>V5-U5</f>
        <v>2.7500000000000024E-3</v>
      </c>
      <c r="X5" s="12"/>
      <c r="AA5" s="24" t="s">
        <v>44</v>
      </c>
    </row>
    <row r="6" spans="1:28" ht="14.4" x14ac:dyDescent="0.3">
      <c r="A6" s="11" t="s">
        <v>45</v>
      </c>
      <c r="B6" s="12" t="s">
        <v>46</v>
      </c>
      <c r="C6" s="11" t="s">
        <v>47</v>
      </c>
      <c r="D6" s="11" t="s">
        <v>25</v>
      </c>
      <c r="E6" s="13">
        <v>847</v>
      </c>
      <c r="F6" s="14">
        <v>12</v>
      </c>
      <c r="G6" s="15">
        <v>0.2</v>
      </c>
      <c r="H6" s="16">
        <v>45397</v>
      </c>
      <c r="I6" s="13">
        <v>271.04000000000002</v>
      </c>
      <c r="J6" s="17">
        <f t="shared" si="0"/>
        <v>7928.71</v>
      </c>
      <c r="K6" s="18" t="str">
        <f>IF(INDEX('Pivot Table'!$N$5:$N$34,MATCH(A6,'Pivot Table'!$I$5:$I$34,0))&lt;=10,"Top 10","")</f>
        <v>Top 10</v>
      </c>
      <c r="L6" s="17">
        <f t="shared" si="1"/>
        <v>1058.75</v>
      </c>
      <c r="M6" s="17">
        <f t="shared" si="2"/>
        <v>952.88</v>
      </c>
      <c r="N6" s="17">
        <f t="shared" si="3"/>
        <v>376.92</v>
      </c>
      <c r="O6" s="19">
        <f t="shared" si="4"/>
        <v>0.32</v>
      </c>
      <c r="P6" s="20">
        <f t="shared" si="5"/>
        <v>45383</v>
      </c>
      <c r="Q6" s="18" t="str">
        <f>IF(J6&gt;='Pivot Table'!$R$4,"High Value","Standard")</f>
        <v>Standard</v>
      </c>
      <c r="R6" s="21">
        <f t="shared" ca="1" si="6"/>
        <v>46304.639624537034</v>
      </c>
      <c r="T6" s="22" t="s">
        <v>48</v>
      </c>
      <c r="U6" s="26">
        <f>SUM($E$2:$E$201)</f>
        <v>195217.75999999992</v>
      </c>
      <c r="V6" s="26">
        <f>SUM(M2:M201)</f>
        <v>196224.59000000005</v>
      </c>
      <c r="W6" s="27">
        <f>V6-U6</f>
        <v>1006.8300000001327</v>
      </c>
      <c r="X6" s="28">
        <f>W6/U6</f>
        <v>5.1574713284289969E-3</v>
      </c>
      <c r="AA6" s="24" t="s">
        <v>49</v>
      </c>
    </row>
    <row r="7" spans="1:28" ht="14.4" x14ac:dyDescent="0.3">
      <c r="A7" s="11" t="s">
        <v>50</v>
      </c>
      <c r="B7" s="12" t="s">
        <v>51</v>
      </c>
      <c r="C7" s="11" t="s">
        <v>47</v>
      </c>
      <c r="D7" s="11" t="s">
        <v>52</v>
      </c>
      <c r="E7" s="13">
        <v>965.64</v>
      </c>
      <c r="F7" s="14">
        <v>8</v>
      </c>
      <c r="G7" s="15">
        <v>0.1</v>
      </c>
      <c r="H7" s="16">
        <v>45398</v>
      </c>
      <c r="I7" s="13">
        <v>304.18</v>
      </c>
      <c r="J7" s="17">
        <f t="shared" si="0"/>
        <v>9941.8799999999992</v>
      </c>
      <c r="K7" s="18" t="str">
        <f>IF(INDEX('Pivot Table'!$N$5:$N$34,MATCH(A7,'Pivot Table'!$I$5:$I$34,0))&lt;=10,"Top 10","")</f>
        <v>Top 10</v>
      </c>
      <c r="L7" s="17">
        <f t="shared" si="1"/>
        <v>1072.93</v>
      </c>
      <c r="M7" s="17">
        <f t="shared" si="2"/>
        <v>965.64</v>
      </c>
      <c r="N7" s="17">
        <f t="shared" si="3"/>
        <v>304.18</v>
      </c>
      <c r="O7" s="19">
        <f t="shared" si="4"/>
        <v>0.31500352098090389</v>
      </c>
      <c r="P7" s="20">
        <f t="shared" si="5"/>
        <v>45383</v>
      </c>
      <c r="Q7" s="18" t="str">
        <f>IF(J7&gt;='Pivot Table'!$R$4,"High Value","Standard")</f>
        <v>High Value</v>
      </c>
      <c r="R7" s="21">
        <f t="shared" ca="1" si="6"/>
        <v>46304.639624537034</v>
      </c>
      <c r="T7" s="22" t="s">
        <v>53</v>
      </c>
      <c r="U7" s="26">
        <f>SUM($E$2:$E$201)-SUM($I$2:$I$201)</f>
        <v>126930.74999999991</v>
      </c>
      <c r="V7" s="26">
        <f>U7</f>
        <v>126930.74999999991</v>
      </c>
      <c r="W7" s="27">
        <f>V7-U7</f>
        <v>0</v>
      </c>
      <c r="X7" s="28">
        <f>IF(U7=0,0,W7/U7)</f>
        <v>0</v>
      </c>
      <c r="AA7" s="24" t="s">
        <v>54</v>
      </c>
    </row>
    <row r="8" spans="1:28" ht="14.4" x14ac:dyDescent="0.3">
      <c r="A8" s="11" t="s">
        <v>55</v>
      </c>
      <c r="B8" s="12" t="s">
        <v>56</v>
      </c>
      <c r="C8" s="11" t="s">
        <v>24</v>
      </c>
      <c r="D8" s="11" t="s">
        <v>42</v>
      </c>
      <c r="E8" s="13">
        <v>1317.53</v>
      </c>
      <c r="F8" s="14">
        <v>12</v>
      </c>
      <c r="G8" s="15">
        <v>0.05</v>
      </c>
      <c r="H8" s="16">
        <v>45398</v>
      </c>
      <c r="I8" s="13">
        <v>312.91000000000003</v>
      </c>
      <c r="J8" s="17">
        <f t="shared" si="0"/>
        <v>6549.55</v>
      </c>
      <c r="K8" s="18" t="str">
        <f>IF(INDEX('Pivot Table'!$N$5:$N$34,MATCH(A8,'Pivot Table'!$I$5:$I$34,0))&lt;=10,"Top 10","")</f>
        <v/>
      </c>
      <c r="L8" s="17">
        <f t="shared" si="1"/>
        <v>1386.87</v>
      </c>
      <c r="M8" s="17">
        <f t="shared" si="2"/>
        <v>1248.18</v>
      </c>
      <c r="N8" s="17">
        <f t="shared" si="3"/>
        <v>243.56</v>
      </c>
      <c r="O8" s="19">
        <f t="shared" si="4"/>
        <v>0.23749743838849971</v>
      </c>
      <c r="P8" s="20">
        <f t="shared" si="5"/>
        <v>45383</v>
      </c>
      <c r="Q8" s="18" t="str">
        <f>IF(J8&gt;='Pivot Table'!$R$4,"High Value","Standard")</f>
        <v>Standard</v>
      </c>
      <c r="R8" s="21">
        <f t="shared" ca="1" si="6"/>
        <v>46304.639624537034</v>
      </c>
      <c r="T8" s="29" t="s">
        <v>57</v>
      </c>
      <c r="U8" s="30">
        <f>SUM($I$2:$I$201)</f>
        <v>68287.010000000009</v>
      </c>
      <c r="V8" s="30">
        <f>SUM(N2:N201)</f>
        <v>69293.84</v>
      </c>
      <c r="W8" s="31">
        <f>V8-U8</f>
        <v>1006.8299999999872</v>
      </c>
      <c r="X8" s="32">
        <f>W8/U8</f>
        <v>1.4744092617321904E-2</v>
      </c>
    </row>
    <row r="9" spans="1:28" ht="14.4" x14ac:dyDescent="0.3">
      <c r="A9" s="11" t="s">
        <v>58</v>
      </c>
      <c r="B9" s="12" t="s">
        <v>59</v>
      </c>
      <c r="C9" s="11" t="s">
        <v>33</v>
      </c>
      <c r="D9" s="11" t="s">
        <v>52</v>
      </c>
      <c r="E9" s="13">
        <v>1074.47</v>
      </c>
      <c r="F9" s="14">
        <v>6</v>
      </c>
      <c r="G9" s="15">
        <v>0.2</v>
      </c>
      <c r="H9" s="16">
        <v>45401</v>
      </c>
      <c r="I9" s="13">
        <v>300.85000000000002</v>
      </c>
      <c r="J9" s="17">
        <f t="shared" si="0"/>
        <v>9371.81</v>
      </c>
      <c r="K9" s="18" t="str">
        <f>IF(INDEX('Pivot Table'!$N$5:$N$34,MATCH(A9,'Pivot Table'!$I$5:$I$34,0))&lt;=10,"Top 10","")</f>
        <v>Top 10</v>
      </c>
      <c r="L9" s="17">
        <f t="shared" si="1"/>
        <v>1343.09</v>
      </c>
      <c r="M9" s="17">
        <f t="shared" si="2"/>
        <v>1208.78</v>
      </c>
      <c r="N9" s="17">
        <f t="shared" si="3"/>
        <v>435.16</v>
      </c>
      <c r="O9" s="19">
        <f t="shared" si="4"/>
        <v>0.279998510893743</v>
      </c>
      <c r="P9" s="20">
        <f t="shared" si="5"/>
        <v>45383</v>
      </c>
      <c r="Q9" s="18" t="str">
        <f>IF(J9&gt;='Pivot Table'!$R$4,"High Value","Standard")</f>
        <v>High Value</v>
      </c>
      <c r="R9" s="21">
        <f t="shared" ca="1" si="6"/>
        <v>46304.639624537034</v>
      </c>
      <c r="T9" s="22" t="s">
        <v>60</v>
      </c>
      <c r="U9" s="25">
        <f>U8/U6</f>
        <v>0.34979916786259629</v>
      </c>
      <c r="V9" s="25">
        <f>V8/V6</f>
        <v>0.35313535372911203</v>
      </c>
      <c r="W9" s="28">
        <f>V9-U9</f>
        <v>3.3361858665157396E-3</v>
      </c>
      <c r="X9" s="12"/>
    </row>
    <row r="10" spans="1:28" ht="14.4" x14ac:dyDescent="0.3">
      <c r="A10" s="11" t="s">
        <v>61</v>
      </c>
      <c r="B10" s="12" t="s">
        <v>62</v>
      </c>
      <c r="C10" s="11" t="s">
        <v>63</v>
      </c>
      <c r="D10" s="11" t="s">
        <v>25</v>
      </c>
      <c r="E10" s="13">
        <v>501.54</v>
      </c>
      <c r="F10" s="14">
        <v>11</v>
      </c>
      <c r="G10" s="15">
        <v>0.05</v>
      </c>
      <c r="H10" s="16">
        <v>45401</v>
      </c>
      <c r="I10" s="13">
        <v>190.59</v>
      </c>
      <c r="J10" s="17">
        <f t="shared" si="0"/>
        <v>6505.2</v>
      </c>
      <c r="K10" s="18" t="str">
        <f>IF(INDEX('Pivot Table'!$N$5:$N$34,MATCH(A10,'Pivot Table'!$I$5:$I$34,0))&lt;=10,"Top 10","")</f>
        <v/>
      </c>
      <c r="L10" s="17">
        <f t="shared" si="1"/>
        <v>527.94000000000005</v>
      </c>
      <c r="M10" s="17">
        <f t="shared" si="2"/>
        <v>475.15</v>
      </c>
      <c r="N10" s="17">
        <f t="shared" si="3"/>
        <v>164.2</v>
      </c>
      <c r="O10" s="19">
        <f t="shared" si="4"/>
        <v>0.38000957052278977</v>
      </c>
      <c r="P10" s="20">
        <f t="shared" si="5"/>
        <v>45383</v>
      </c>
      <c r="Q10" s="18" t="str">
        <f>IF(J10&gt;='Pivot Table'!$R$4,"High Value","Standard")</f>
        <v>Standard</v>
      </c>
      <c r="R10" s="21">
        <f t="shared" ca="1" si="6"/>
        <v>46304.639624537034</v>
      </c>
    </row>
    <row r="11" spans="1:28" ht="14.4" x14ac:dyDescent="0.3">
      <c r="A11" s="11" t="s">
        <v>64</v>
      </c>
      <c r="B11" s="12" t="s">
        <v>65</v>
      </c>
      <c r="C11" s="11" t="s">
        <v>63</v>
      </c>
      <c r="D11" s="11" t="s">
        <v>28</v>
      </c>
      <c r="E11" s="13">
        <v>737.31</v>
      </c>
      <c r="F11" s="14">
        <v>2</v>
      </c>
      <c r="G11" s="15">
        <v>0.05</v>
      </c>
      <c r="H11" s="16">
        <v>45401</v>
      </c>
      <c r="I11" s="13">
        <v>350.22</v>
      </c>
      <c r="J11" s="17">
        <f t="shared" si="0"/>
        <v>4259.22</v>
      </c>
      <c r="K11" s="18" t="str">
        <f>IF(INDEX('Pivot Table'!$N$5:$N$34,MATCH(A11,'Pivot Table'!$I$5:$I$34,0))&lt;=10,"Top 10","")</f>
        <v/>
      </c>
      <c r="L11" s="17">
        <f t="shared" si="1"/>
        <v>776.12</v>
      </c>
      <c r="M11" s="17">
        <f t="shared" si="2"/>
        <v>698.51</v>
      </c>
      <c r="N11" s="17">
        <f t="shared" si="3"/>
        <v>311.42</v>
      </c>
      <c r="O11" s="19">
        <f t="shared" si="4"/>
        <v>0.47499694836635886</v>
      </c>
      <c r="P11" s="20">
        <f t="shared" si="5"/>
        <v>45383</v>
      </c>
      <c r="Q11" s="18" t="str">
        <f>IF(J11&gt;='Pivot Table'!$R$4,"High Value","Standard")</f>
        <v>Standard</v>
      </c>
      <c r="R11" s="21">
        <f t="shared" ca="1" si="6"/>
        <v>46304.639624537034</v>
      </c>
      <c r="T11" s="22" t="s">
        <v>66</v>
      </c>
      <c r="U11" s="33">
        <v>80000</v>
      </c>
    </row>
    <row r="12" spans="1:28" ht="14.4" x14ac:dyDescent="0.3">
      <c r="A12" s="11" t="s">
        <v>67</v>
      </c>
      <c r="B12" s="12" t="s">
        <v>68</v>
      </c>
      <c r="C12" s="11" t="s">
        <v>24</v>
      </c>
      <c r="D12" s="11" t="s">
        <v>69</v>
      </c>
      <c r="E12" s="13">
        <v>1572.82</v>
      </c>
      <c r="F12" s="14">
        <v>6</v>
      </c>
      <c r="G12" s="15">
        <v>0.05</v>
      </c>
      <c r="H12" s="16">
        <v>45402</v>
      </c>
      <c r="I12" s="13">
        <v>672.38</v>
      </c>
      <c r="J12" s="17">
        <f t="shared" si="0"/>
        <v>6729.8899999999994</v>
      </c>
      <c r="K12" s="18" t="str">
        <f>IF(INDEX('Pivot Table'!$N$5:$N$34,MATCH(A12,'Pivot Table'!$I$5:$I$34,0))&lt;=10,"Top 10","")</f>
        <v/>
      </c>
      <c r="L12" s="17">
        <f t="shared" si="1"/>
        <v>1655.6</v>
      </c>
      <c r="M12" s="17">
        <f t="shared" si="2"/>
        <v>1490.04</v>
      </c>
      <c r="N12" s="17">
        <f t="shared" si="3"/>
        <v>589.6</v>
      </c>
      <c r="O12" s="19">
        <f t="shared" si="4"/>
        <v>0.42749965030963494</v>
      </c>
      <c r="P12" s="20">
        <f t="shared" si="5"/>
        <v>45383</v>
      </c>
      <c r="Q12" s="18" t="str">
        <f>IF(J12&gt;='Pivot Table'!$R$4,"High Value","Standard")</f>
        <v>Standard</v>
      </c>
      <c r="R12" s="21">
        <f t="shared" ca="1" si="6"/>
        <v>46304.639624537034</v>
      </c>
      <c r="T12" s="22" t="s">
        <v>70</v>
      </c>
      <c r="U12" s="34">
        <f>IF(1-(U11+U7)/SUM(L2:L201)&lt;0,"Not achievable",1-(U11+U7)/SUM(L2:L201))</f>
        <v>5.089505780148873E-2</v>
      </c>
    </row>
    <row r="13" spans="1:28" ht="14.4" x14ac:dyDescent="0.3">
      <c r="A13" s="11" t="s">
        <v>67</v>
      </c>
      <c r="B13" s="12" t="s">
        <v>65</v>
      </c>
      <c r="C13" s="11" t="s">
        <v>63</v>
      </c>
      <c r="D13" s="11" t="s">
        <v>25</v>
      </c>
      <c r="E13" s="13">
        <v>1343.13</v>
      </c>
      <c r="F13" s="14">
        <v>14</v>
      </c>
      <c r="G13" s="15">
        <v>0.15</v>
      </c>
      <c r="H13" s="16">
        <v>45404</v>
      </c>
      <c r="I13" s="13">
        <v>456.66</v>
      </c>
      <c r="J13" s="17">
        <f t="shared" si="0"/>
        <v>6729.8899999999994</v>
      </c>
      <c r="K13" s="18" t="str">
        <f>IF(INDEX('Pivot Table'!$N$5:$N$34,MATCH(A13,'Pivot Table'!$I$5:$I$34,0))&lt;=10,"Top 10","")</f>
        <v/>
      </c>
      <c r="L13" s="17">
        <f t="shared" si="1"/>
        <v>1580.15</v>
      </c>
      <c r="M13" s="17">
        <f t="shared" si="2"/>
        <v>1422.14</v>
      </c>
      <c r="N13" s="17">
        <f t="shared" si="3"/>
        <v>535.66999999999996</v>
      </c>
      <c r="O13" s="19">
        <f t="shared" si="4"/>
        <v>0.33999687297581022</v>
      </c>
      <c r="P13" s="20">
        <f t="shared" si="5"/>
        <v>45383</v>
      </c>
      <c r="Q13" s="18" t="str">
        <f>IF(J13&gt;='Pivot Table'!$R$4,"High Value","Standard")</f>
        <v>Standard</v>
      </c>
      <c r="R13" s="21">
        <f t="shared" ca="1" si="6"/>
        <v>46304.639624537034</v>
      </c>
    </row>
    <row r="14" spans="1:28" ht="14.4" x14ac:dyDescent="0.3">
      <c r="A14" s="11" t="s">
        <v>50</v>
      </c>
      <c r="B14" s="12" t="s">
        <v>51</v>
      </c>
      <c r="C14" s="11" t="s">
        <v>63</v>
      </c>
      <c r="D14" s="11" t="s">
        <v>25</v>
      </c>
      <c r="E14" s="13">
        <v>1191.58</v>
      </c>
      <c r="F14" s="14">
        <v>14</v>
      </c>
      <c r="G14" s="15">
        <v>0.05</v>
      </c>
      <c r="H14" s="16">
        <v>45406</v>
      </c>
      <c r="I14" s="13">
        <v>452.8</v>
      </c>
      <c r="J14" s="17">
        <f t="shared" si="0"/>
        <v>9941.8799999999992</v>
      </c>
      <c r="K14" s="18" t="str">
        <f>IF(INDEX('Pivot Table'!$N$5:$N$34,MATCH(A14,'Pivot Table'!$I$5:$I$34,0))&lt;=10,"Top 10","")</f>
        <v>Top 10</v>
      </c>
      <c r="L14" s="17">
        <f t="shared" si="1"/>
        <v>1254.29</v>
      </c>
      <c r="M14" s="17">
        <f t="shared" si="2"/>
        <v>1128.8599999999999</v>
      </c>
      <c r="N14" s="17">
        <f t="shared" si="3"/>
        <v>390.08</v>
      </c>
      <c r="O14" s="19">
        <f t="shared" si="4"/>
        <v>0.37999966431125065</v>
      </c>
      <c r="P14" s="20">
        <f t="shared" si="5"/>
        <v>45383</v>
      </c>
      <c r="Q14" s="18" t="str">
        <f>IF(J14&gt;='Pivot Table'!$R$4,"High Value","Standard")</f>
        <v>High Value</v>
      </c>
      <c r="R14" s="21">
        <f t="shared" ca="1" si="6"/>
        <v>46304.639624537034</v>
      </c>
      <c r="T14" s="7" t="s">
        <v>71</v>
      </c>
      <c r="U14" s="35"/>
      <c r="V14" s="35"/>
      <c r="W14" s="35"/>
      <c r="X14" s="35"/>
      <c r="Y14" s="10"/>
    </row>
    <row r="15" spans="1:28" ht="14.4" x14ac:dyDescent="0.3">
      <c r="A15" s="11" t="s">
        <v>72</v>
      </c>
      <c r="B15" s="12" t="s">
        <v>27</v>
      </c>
      <c r="C15" s="11" t="s">
        <v>24</v>
      </c>
      <c r="D15" s="11" t="s">
        <v>52</v>
      </c>
      <c r="E15" s="13">
        <v>822.28</v>
      </c>
      <c r="F15" s="14">
        <v>7</v>
      </c>
      <c r="G15" s="15">
        <v>0.05</v>
      </c>
      <c r="H15" s="16">
        <v>45406</v>
      </c>
      <c r="I15" s="13">
        <v>273.41000000000003</v>
      </c>
      <c r="J15" s="17">
        <f t="shared" si="0"/>
        <v>5913.68</v>
      </c>
      <c r="K15" s="18" t="str">
        <f>IF(INDEX('Pivot Table'!$N$5:$N$34,MATCH(A15,'Pivot Table'!$I$5:$I$34,0))&lt;=10,"Top 10","")</f>
        <v/>
      </c>
      <c r="L15" s="17">
        <f t="shared" si="1"/>
        <v>865.56</v>
      </c>
      <c r="M15" s="17">
        <f t="shared" si="2"/>
        <v>779</v>
      </c>
      <c r="N15" s="17">
        <f t="shared" si="3"/>
        <v>230.13</v>
      </c>
      <c r="O15" s="19">
        <f t="shared" si="4"/>
        <v>0.33250231064844094</v>
      </c>
      <c r="P15" s="20">
        <f t="shared" si="5"/>
        <v>45383</v>
      </c>
      <c r="Q15" s="18" t="str">
        <f>IF(J15&gt;='Pivot Table'!$R$4,"High Value","Standard")</f>
        <v>Standard</v>
      </c>
      <c r="R15" s="21">
        <f t="shared" ca="1" si="6"/>
        <v>46304.639624537034</v>
      </c>
      <c r="T15" s="6" t="s">
        <v>8</v>
      </c>
      <c r="U15" s="6" t="s">
        <v>73</v>
      </c>
      <c r="V15" s="6" t="s">
        <v>74</v>
      </c>
      <c r="W15" s="6" t="s">
        <v>75</v>
      </c>
      <c r="X15" s="6" t="s">
        <v>76</v>
      </c>
      <c r="Y15" s="6" t="s">
        <v>77</v>
      </c>
    </row>
    <row r="16" spans="1:28" ht="14.4" x14ac:dyDescent="0.3">
      <c r="A16" s="11" t="s">
        <v>78</v>
      </c>
      <c r="B16" s="12" t="s">
        <v>79</v>
      </c>
      <c r="C16" s="11" t="s">
        <v>47</v>
      </c>
      <c r="D16" s="11" t="s">
        <v>52</v>
      </c>
      <c r="E16" s="13">
        <v>521.66999999999996</v>
      </c>
      <c r="F16" s="14">
        <v>15</v>
      </c>
      <c r="G16" s="15">
        <v>0.15</v>
      </c>
      <c r="H16" s="16">
        <v>45409</v>
      </c>
      <c r="I16" s="13">
        <v>155.19999999999999</v>
      </c>
      <c r="J16" s="17">
        <f t="shared" si="0"/>
        <v>5779.05</v>
      </c>
      <c r="K16" s="18" t="str">
        <f>IF(INDEX('Pivot Table'!$N$5:$N$34,MATCH(A16,'Pivot Table'!$I$5:$I$34,0))&lt;=10,"Top 10","")</f>
        <v/>
      </c>
      <c r="L16" s="17">
        <f t="shared" si="1"/>
        <v>613.73</v>
      </c>
      <c r="M16" s="17">
        <f t="shared" si="2"/>
        <v>552.36</v>
      </c>
      <c r="N16" s="17">
        <f t="shared" si="3"/>
        <v>185.89</v>
      </c>
      <c r="O16" s="19">
        <f t="shared" si="4"/>
        <v>0.29750608622309122</v>
      </c>
      <c r="P16" s="20">
        <f t="shared" si="5"/>
        <v>45383</v>
      </c>
      <c r="Q16" s="18" t="str">
        <f>IF(J16&gt;='Pivot Table'!$R$4,"High Value","Standard")</f>
        <v>Standard</v>
      </c>
      <c r="R16" s="21">
        <f t="shared" ca="1" si="6"/>
        <v>46304.639624537034</v>
      </c>
      <c r="T16" s="36">
        <v>0</v>
      </c>
      <c r="U16" s="26">
        <f t="shared" ref="U16:U22" si="7">SUM($L$2:$L$201)*(1-T16)</f>
        <v>218027.26000000013</v>
      </c>
      <c r="V16" s="26">
        <f t="shared" ref="V16:V22" si="8">U16-$U$7</f>
        <v>91096.510000000213</v>
      </c>
      <c r="W16" s="19">
        <f t="shared" ref="W16:W22" si="9">V16/U16</f>
        <v>0.41782165220991246</v>
      </c>
      <c r="X16" s="27">
        <f t="shared" ref="X16:X22" si="10">V16-$U$8</f>
        <v>22809.500000000204</v>
      </c>
      <c r="Y16" s="37">
        <f t="shared" ref="Y16:Y22" si="11">X16/$U$8</f>
        <v>0.3340239966576396</v>
      </c>
    </row>
    <row r="17" spans="1:25" ht="14.4" x14ac:dyDescent="0.3">
      <c r="A17" s="11" t="s">
        <v>40</v>
      </c>
      <c r="B17" s="12" t="s">
        <v>80</v>
      </c>
      <c r="C17" s="11" t="s">
        <v>41</v>
      </c>
      <c r="D17" s="11" t="s">
        <v>42</v>
      </c>
      <c r="E17" s="13">
        <v>1502.93</v>
      </c>
      <c r="F17" s="14">
        <v>14</v>
      </c>
      <c r="G17" s="15">
        <v>0.2</v>
      </c>
      <c r="H17" s="16">
        <v>45410</v>
      </c>
      <c r="I17" s="13">
        <v>300.58999999999997</v>
      </c>
      <c r="J17" s="17">
        <f t="shared" si="0"/>
        <v>6666.130000000001</v>
      </c>
      <c r="K17" s="18" t="str">
        <f>IF(INDEX('Pivot Table'!$N$5:$N$34,MATCH(A17,'Pivot Table'!$I$5:$I$34,0))&lt;=10,"Top 10","")</f>
        <v/>
      </c>
      <c r="L17" s="17">
        <f t="shared" si="1"/>
        <v>1878.66</v>
      </c>
      <c r="M17" s="17">
        <f t="shared" si="2"/>
        <v>1690.79</v>
      </c>
      <c r="N17" s="17">
        <f t="shared" si="3"/>
        <v>488.45</v>
      </c>
      <c r="O17" s="19">
        <f t="shared" si="4"/>
        <v>0.20000266146793261</v>
      </c>
      <c r="P17" s="20">
        <f t="shared" si="5"/>
        <v>45383</v>
      </c>
      <c r="Q17" s="18" t="str">
        <f>IF(J17&gt;='Pivot Table'!$R$4,"High Value","Standard")</f>
        <v>Standard</v>
      </c>
      <c r="R17" s="21">
        <f t="shared" ca="1" si="6"/>
        <v>46304.639624537034</v>
      </c>
      <c r="T17" s="36">
        <v>0.05</v>
      </c>
      <c r="U17" s="26">
        <f t="shared" si="7"/>
        <v>207125.89700000011</v>
      </c>
      <c r="V17" s="26">
        <f t="shared" si="8"/>
        <v>80195.147000000201</v>
      </c>
      <c r="W17" s="19">
        <f t="shared" si="9"/>
        <v>0.38718068653674997</v>
      </c>
      <c r="X17" s="27">
        <f t="shared" si="10"/>
        <v>11908.137000000192</v>
      </c>
      <c r="Y17" s="37">
        <f t="shared" si="11"/>
        <v>0.17438363460342149</v>
      </c>
    </row>
    <row r="18" spans="1:25" ht="14.4" x14ac:dyDescent="0.3">
      <c r="A18" s="11" t="s">
        <v>81</v>
      </c>
      <c r="B18" s="12" t="s">
        <v>27</v>
      </c>
      <c r="C18" s="11" t="s">
        <v>41</v>
      </c>
      <c r="D18" s="11" t="s">
        <v>25</v>
      </c>
      <c r="E18" s="13">
        <v>877.58</v>
      </c>
      <c r="F18" s="14">
        <v>10</v>
      </c>
      <c r="G18" s="15">
        <v>0.15</v>
      </c>
      <c r="H18" s="16">
        <v>45411</v>
      </c>
      <c r="I18" s="13">
        <v>298.38</v>
      </c>
      <c r="J18" s="17">
        <f t="shared" si="0"/>
        <v>9760.7999999999993</v>
      </c>
      <c r="K18" s="18" t="str">
        <f>IF(INDEX('Pivot Table'!$N$5:$N$34,MATCH(A18,'Pivot Table'!$I$5:$I$34,0))&lt;=10,"Top 10","")</f>
        <v>Top 10</v>
      </c>
      <c r="L18" s="17">
        <f t="shared" si="1"/>
        <v>1032.45</v>
      </c>
      <c r="M18" s="17">
        <f t="shared" si="2"/>
        <v>929.21</v>
      </c>
      <c r="N18" s="17">
        <f t="shared" si="3"/>
        <v>350.01</v>
      </c>
      <c r="O18" s="19">
        <f t="shared" si="4"/>
        <v>0.34000319059231066</v>
      </c>
      <c r="P18" s="20">
        <f t="shared" si="5"/>
        <v>45383</v>
      </c>
      <c r="Q18" s="18" t="str">
        <f>IF(J18&gt;='Pivot Table'!$R$4,"High Value","Standard")</f>
        <v>High Value</v>
      </c>
      <c r="R18" s="21">
        <f t="shared" ca="1" si="6"/>
        <v>46304.639624537034</v>
      </c>
      <c r="T18" s="36">
        <v>0.1</v>
      </c>
      <c r="U18" s="26">
        <f t="shared" si="7"/>
        <v>196224.53400000013</v>
      </c>
      <c r="V18" s="26">
        <f t="shared" si="8"/>
        <v>69293.784000000218</v>
      </c>
      <c r="W18" s="19">
        <f t="shared" si="9"/>
        <v>0.353135169122125</v>
      </c>
      <c r="X18" s="27">
        <f t="shared" si="10"/>
        <v>1006.7740000002086</v>
      </c>
      <c r="Y18" s="37">
        <f t="shared" si="11"/>
        <v>1.4743272549203846E-2</v>
      </c>
    </row>
    <row r="19" spans="1:25" ht="14.4" x14ac:dyDescent="0.3">
      <c r="A19" s="11" t="s">
        <v>55</v>
      </c>
      <c r="B19" s="12" t="s">
        <v>82</v>
      </c>
      <c r="C19" s="11" t="s">
        <v>24</v>
      </c>
      <c r="D19" s="11" t="s">
        <v>25</v>
      </c>
      <c r="E19" s="13">
        <v>636.70000000000005</v>
      </c>
      <c r="F19" s="14">
        <v>4</v>
      </c>
      <c r="G19" s="15">
        <v>0.2</v>
      </c>
      <c r="H19" s="16">
        <v>45411</v>
      </c>
      <c r="I19" s="13">
        <v>203.74</v>
      </c>
      <c r="J19" s="17">
        <f t="shared" si="0"/>
        <v>6549.55</v>
      </c>
      <c r="K19" s="18" t="str">
        <f>IF(INDEX('Pivot Table'!$N$5:$N$34,MATCH(A19,'Pivot Table'!$I$5:$I$34,0))&lt;=10,"Top 10","")</f>
        <v/>
      </c>
      <c r="L19" s="17">
        <f t="shared" si="1"/>
        <v>795.88</v>
      </c>
      <c r="M19" s="17">
        <f t="shared" si="2"/>
        <v>716.29</v>
      </c>
      <c r="N19" s="17">
        <f t="shared" si="3"/>
        <v>283.33</v>
      </c>
      <c r="O19" s="19">
        <f t="shared" si="4"/>
        <v>0.31999371760640805</v>
      </c>
      <c r="P19" s="20">
        <f t="shared" si="5"/>
        <v>45383</v>
      </c>
      <c r="Q19" s="18" t="str">
        <f>IF(J19&gt;='Pivot Table'!$R$4,"High Value","Standard")</f>
        <v>Standard</v>
      </c>
      <c r="R19" s="21">
        <f t="shared" ca="1" si="6"/>
        <v>46304.639624537034</v>
      </c>
      <c r="T19" s="36">
        <v>0.15</v>
      </c>
      <c r="U19" s="26">
        <f t="shared" si="7"/>
        <v>185323.17100000009</v>
      </c>
      <c r="V19" s="26">
        <f t="shared" si="8"/>
        <v>58392.421000000177</v>
      </c>
      <c r="W19" s="19">
        <f t="shared" si="9"/>
        <v>0.31508429671754401</v>
      </c>
      <c r="X19" s="27">
        <f t="shared" si="10"/>
        <v>-9894.5889999998326</v>
      </c>
      <c r="Y19" s="37">
        <f t="shared" si="11"/>
        <v>-0.14489708950501465</v>
      </c>
    </row>
    <row r="20" spans="1:25" ht="14.4" x14ac:dyDescent="0.3">
      <c r="A20" s="11" t="s">
        <v>83</v>
      </c>
      <c r="B20" s="12" t="s">
        <v>84</v>
      </c>
      <c r="C20" s="11" t="s">
        <v>24</v>
      </c>
      <c r="D20" s="11" t="s">
        <v>25</v>
      </c>
      <c r="E20" s="13">
        <v>1506.14</v>
      </c>
      <c r="F20" s="14">
        <v>13</v>
      </c>
      <c r="G20" s="15">
        <v>0.2</v>
      </c>
      <c r="H20" s="16">
        <v>45412</v>
      </c>
      <c r="I20" s="13">
        <v>481.96</v>
      </c>
      <c r="J20" s="17">
        <f t="shared" si="0"/>
        <v>2699.75</v>
      </c>
      <c r="K20" s="18" t="str">
        <f>IF(INDEX('Pivot Table'!$N$5:$N$34,MATCH(A20,'Pivot Table'!$I$5:$I$34,0))&lt;=10,"Top 10","")</f>
        <v/>
      </c>
      <c r="L20" s="17">
        <f t="shared" si="1"/>
        <v>1882.68</v>
      </c>
      <c r="M20" s="17">
        <f t="shared" si="2"/>
        <v>1694.41</v>
      </c>
      <c r="N20" s="17">
        <f t="shared" si="3"/>
        <v>670.23</v>
      </c>
      <c r="O20" s="19">
        <f t="shared" si="4"/>
        <v>0.319996813045268</v>
      </c>
      <c r="P20" s="20">
        <f t="shared" si="5"/>
        <v>45383</v>
      </c>
      <c r="Q20" s="18" t="str">
        <f>IF(J20&gt;='Pivot Table'!$R$4,"High Value","Standard")</f>
        <v>Standard</v>
      </c>
      <c r="R20" s="21">
        <f t="shared" ca="1" si="6"/>
        <v>46304.639624537034</v>
      </c>
      <c r="T20" s="36">
        <v>0.2</v>
      </c>
      <c r="U20" s="26">
        <f t="shared" si="7"/>
        <v>174421.80800000011</v>
      </c>
      <c r="V20" s="26">
        <f t="shared" si="8"/>
        <v>47491.058000000194</v>
      </c>
      <c r="W20" s="19">
        <f t="shared" si="9"/>
        <v>0.27227706526239059</v>
      </c>
      <c r="X20" s="27">
        <f t="shared" si="10"/>
        <v>-20795.951999999816</v>
      </c>
      <c r="Y20" s="37">
        <f t="shared" si="11"/>
        <v>-0.30453745155923234</v>
      </c>
    </row>
    <row r="21" spans="1:25" ht="15.75" customHeight="1" x14ac:dyDescent="0.3">
      <c r="A21" s="11" t="s">
        <v>58</v>
      </c>
      <c r="B21" s="12" t="s">
        <v>59</v>
      </c>
      <c r="C21" s="11" t="s">
        <v>63</v>
      </c>
      <c r="D21" s="11" t="s">
        <v>42</v>
      </c>
      <c r="E21" s="13">
        <v>645.02</v>
      </c>
      <c r="F21" s="14">
        <v>4</v>
      </c>
      <c r="G21" s="15">
        <v>0</v>
      </c>
      <c r="H21" s="16">
        <v>45414</v>
      </c>
      <c r="I21" s="13">
        <v>161.26</v>
      </c>
      <c r="J21" s="17">
        <f t="shared" si="0"/>
        <v>9371.81</v>
      </c>
      <c r="K21" s="18" t="str">
        <f>IF(INDEX('Pivot Table'!$N$5:$N$34,MATCH(A21,'Pivot Table'!$I$5:$I$34,0))&lt;=10,"Top 10","")</f>
        <v>Top 10</v>
      </c>
      <c r="L21" s="17">
        <f t="shared" si="1"/>
        <v>645.02</v>
      </c>
      <c r="M21" s="17">
        <f t="shared" si="2"/>
        <v>580.52</v>
      </c>
      <c r="N21" s="17">
        <f t="shared" si="3"/>
        <v>96.76</v>
      </c>
      <c r="O21" s="19">
        <f t="shared" si="4"/>
        <v>0.25000775169762179</v>
      </c>
      <c r="P21" s="20">
        <f t="shared" si="5"/>
        <v>45413</v>
      </c>
      <c r="Q21" s="18" t="str">
        <f>IF(J21&gt;='Pivot Table'!$R$4,"High Value","Standard")</f>
        <v>High Value</v>
      </c>
      <c r="R21" s="21">
        <f t="shared" ca="1" si="6"/>
        <v>46304.639624537034</v>
      </c>
      <c r="T21" s="36">
        <v>0.25</v>
      </c>
      <c r="U21" s="26">
        <f t="shared" si="7"/>
        <v>163520.44500000009</v>
      </c>
      <c r="V21" s="26">
        <f t="shared" si="8"/>
        <v>36589.695000000182</v>
      </c>
      <c r="W21" s="19">
        <f t="shared" si="9"/>
        <v>0.22376220294654997</v>
      </c>
      <c r="X21" s="27">
        <f t="shared" si="10"/>
        <v>-31697.314999999828</v>
      </c>
      <c r="Y21" s="37">
        <f t="shared" si="11"/>
        <v>-0.4641778136134504</v>
      </c>
    </row>
    <row r="22" spans="1:25" ht="15.75" customHeight="1" x14ac:dyDescent="0.3">
      <c r="A22" s="11" t="s">
        <v>50</v>
      </c>
      <c r="B22" s="12" t="s">
        <v>85</v>
      </c>
      <c r="C22" s="11" t="s">
        <v>41</v>
      </c>
      <c r="D22" s="11" t="s">
        <v>28</v>
      </c>
      <c r="E22" s="13">
        <v>953.3</v>
      </c>
      <c r="F22" s="14">
        <v>11</v>
      </c>
      <c r="G22" s="15">
        <v>0</v>
      </c>
      <c r="H22" s="16">
        <v>45415</v>
      </c>
      <c r="I22" s="13">
        <v>476.65</v>
      </c>
      <c r="J22" s="17">
        <f t="shared" si="0"/>
        <v>9941.8799999999992</v>
      </c>
      <c r="K22" s="18" t="str">
        <f>IF(INDEX('Pivot Table'!$N$5:$N$34,MATCH(A22,'Pivot Table'!$I$5:$I$34,0))&lt;=10,"Top 10","")</f>
        <v>Top 10</v>
      </c>
      <c r="L22" s="17">
        <f t="shared" si="1"/>
        <v>953.3</v>
      </c>
      <c r="M22" s="17">
        <f t="shared" si="2"/>
        <v>857.97</v>
      </c>
      <c r="N22" s="17">
        <f t="shared" si="3"/>
        <v>381.32</v>
      </c>
      <c r="O22" s="19">
        <f t="shared" si="4"/>
        <v>0.5</v>
      </c>
      <c r="P22" s="20">
        <f t="shared" si="5"/>
        <v>45413</v>
      </c>
      <c r="Q22" s="18" t="str">
        <f>IF(J22&gt;='Pivot Table'!$R$4,"High Value","Standard")</f>
        <v>High Value</v>
      </c>
      <c r="R22" s="21">
        <f t="shared" ca="1" si="6"/>
        <v>46304.639624537034</v>
      </c>
      <c r="T22" s="38">
        <f>U3</f>
        <v>0.1</v>
      </c>
      <c r="U22" s="26">
        <f t="shared" si="7"/>
        <v>196224.53400000013</v>
      </c>
      <c r="V22" s="26">
        <f t="shared" si="8"/>
        <v>69293.784000000218</v>
      </c>
      <c r="W22" s="19">
        <f t="shared" si="9"/>
        <v>0.353135169122125</v>
      </c>
      <c r="X22" s="27">
        <f t="shared" si="10"/>
        <v>1006.7740000002086</v>
      </c>
      <c r="Y22" s="37">
        <f t="shared" si="11"/>
        <v>1.4743272549203846E-2</v>
      </c>
    </row>
    <row r="23" spans="1:25" ht="15.75" customHeight="1" x14ac:dyDescent="0.3">
      <c r="A23" s="11" t="s">
        <v>86</v>
      </c>
      <c r="B23" s="12" t="s">
        <v>27</v>
      </c>
      <c r="C23" s="11" t="s">
        <v>47</v>
      </c>
      <c r="D23" s="11" t="s">
        <v>42</v>
      </c>
      <c r="E23" s="13">
        <v>388.56</v>
      </c>
      <c r="F23" s="14">
        <v>14</v>
      </c>
      <c r="G23" s="15">
        <v>0.15</v>
      </c>
      <c r="H23" s="16">
        <v>45416</v>
      </c>
      <c r="I23" s="13">
        <v>82.57</v>
      </c>
      <c r="J23" s="17">
        <f t="shared" si="0"/>
        <v>4418.2800000000007</v>
      </c>
      <c r="K23" s="18" t="str">
        <f>IF(INDEX('Pivot Table'!$N$5:$N$34,MATCH(A23,'Pivot Table'!$I$5:$I$34,0))&lt;=10,"Top 10","")</f>
        <v/>
      </c>
      <c r="L23" s="17">
        <f t="shared" si="1"/>
        <v>457.13</v>
      </c>
      <c r="M23" s="17">
        <f t="shared" si="2"/>
        <v>411.42</v>
      </c>
      <c r="N23" s="17">
        <f t="shared" si="3"/>
        <v>105.43</v>
      </c>
      <c r="O23" s="19">
        <f t="shared" si="4"/>
        <v>0.21250257360510602</v>
      </c>
      <c r="P23" s="20">
        <f t="shared" si="5"/>
        <v>45413</v>
      </c>
      <c r="Q23" s="18" t="str">
        <f>IF(J23&gt;='Pivot Table'!$R$4,"High Value","Standard")</f>
        <v>Standard</v>
      </c>
      <c r="R23" s="21">
        <f t="shared" ca="1" si="6"/>
        <v>46304.639624537034</v>
      </c>
    </row>
    <row r="24" spans="1:25" ht="15.75" customHeight="1" x14ac:dyDescent="0.3">
      <c r="A24" s="11" t="s">
        <v>22</v>
      </c>
      <c r="B24" s="12" t="s">
        <v>59</v>
      </c>
      <c r="C24" s="11" t="s">
        <v>24</v>
      </c>
      <c r="D24" s="11" t="s">
        <v>25</v>
      </c>
      <c r="E24" s="13">
        <v>743.17</v>
      </c>
      <c r="F24" s="14">
        <v>9</v>
      </c>
      <c r="G24" s="15">
        <v>0</v>
      </c>
      <c r="H24" s="16">
        <v>45416</v>
      </c>
      <c r="I24" s="13">
        <v>297.27</v>
      </c>
      <c r="J24" s="17">
        <f t="shared" si="0"/>
        <v>4640.1099999999997</v>
      </c>
      <c r="K24" s="18" t="str">
        <f>IF(INDEX('Pivot Table'!$N$5:$N$34,MATCH(A24,'Pivot Table'!$I$5:$I$34,0))&lt;=10,"Top 10","")</f>
        <v/>
      </c>
      <c r="L24" s="17">
        <f t="shared" si="1"/>
        <v>743.17</v>
      </c>
      <c r="M24" s="17">
        <f t="shared" si="2"/>
        <v>668.85</v>
      </c>
      <c r="N24" s="17">
        <f t="shared" si="3"/>
        <v>222.95</v>
      </c>
      <c r="O24" s="19">
        <f t="shared" si="4"/>
        <v>0.40000269117429388</v>
      </c>
      <c r="P24" s="20">
        <f t="shared" si="5"/>
        <v>45413</v>
      </c>
      <c r="Q24" s="18" t="str">
        <f>IF(J24&gt;='Pivot Table'!$R$4,"High Value","Standard")</f>
        <v>Standard</v>
      </c>
      <c r="R24" s="21">
        <f t="shared" ca="1" si="6"/>
        <v>46304.639624537034</v>
      </c>
    </row>
    <row r="25" spans="1:25" ht="15.75" customHeight="1" x14ac:dyDescent="0.3">
      <c r="A25" s="11" t="s">
        <v>72</v>
      </c>
      <c r="B25" s="12" t="s">
        <v>59</v>
      </c>
      <c r="C25" s="11" t="s">
        <v>63</v>
      </c>
      <c r="D25" s="11" t="s">
        <v>42</v>
      </c>
      <c r="E25" s="13">
        <v>706.37</v>
      </c>
      <c r="F25" s="14">
        <v>6</v>
      </c>
      <c r="G25" s="15">
        <v>0</v>
      </c>
      <c r="H25" s="16">
        <v>45416</v>
      </c>
      <c r="I25" s="13">
        <v>176.59</v>
      </c>
      <c r="J25" s="17">
        <f t="shared" si="0"/>
        <v>5913.68</v>
      </c>
      <c r="K25" s="18" t="str">
        <f>IF(INDEX('Pivot Table'!$N$5:$N$34,MATCH(A25,'Pivot Table'!$I$5:$I$34,0))&lt;=10,"Top 10","")</f>
        <v/>
      </c>
      <c r="L25" s="17">
        <f t="shared" si="1"/>
        <v>706.37</v>
      </c>
      <c r="M25" s="17">
        <f t="shared" si="2"/>
        <v>635.73</v>
      </c>
      <c r="N25" s="17">
        <f t="shared" si="3"/>
        <v>105.95</v>
      </c>
      <c r="O25" s="19">
        <f t="shared" si="4"/>
        <v>0.24999646077834564</v>
      </c>
      <c r="P25" s="20">
        <f t="shared" si="5"/>
        <v>45413</v>
      </c>
      <c r="Q25" s="18" t="str">
        <f>IF(J25&gt;='Pivot Table'!$R$4,"High Value","Standard")</f>
        <v>Standard</v>
      </c>
      <c r="R25" s="21">
        <f t="shared" ca="1" si="6"/>
        <v>46304.639624537034</v>
      </c>
    </row>
    <row r="26" spans="1:25" ht="15.75" customHeight="1" x14ac:dyDescent="0.3">
      <c r="A26" s="11" t="s">
        <v>26</v>
      </c>
      <c r="B26" s="12" t="s">
        <v>59</v>
      </c>
      <c r="C26" s="11" t="s">
        <v>63</v>
      </c>
      <c r="D26" s="11" t="s">
        <v>69</v>
      </c>
      <c r="E26" s="13">
        <v>925.31</v>
      </c>
      <c r="F26" s="14">
        <v>8</v>
      </c>
      <c r="G26" s="15">
        <v>0.1</v>
      </c>
      <c r="H26" s="16">
        <v>45418</v>
      </c>
      <c r="I26" s="13">
        <v>374.75</v>
      </c>
      <c r="J26" s="17">
        <f t="shared" si="0"/>
        <v>8339</v>
      </c>
      <c r="K26" s="18" t="str">
        <f>IF(INDEX('Pivot Table'!$N$5:$N$34,MATCH(A26,'Pivot Table'!$I$5:$I$34,0))&lt;=10,"Top 10","")</f>
        <v>Top 10</v>
      </c>
      <c r="L26" s="17">
        <f t="shared" si="1"/>
        <v>1028.1199999999999</v>
      </c>
      <c r="M26" s="17">
        <f t="shared" si="2"/>
        <v>925.31</v>
      </c>
      <c r="N26" s="17">
        <f t="shared" si="3"/>
        <v>374.75</v>
      </c>
      <c r="O26" s="19">
        <f t="shared" si="4"/>
        <v>0.40499940560460823</v>
      </c>
      <c r="P26" s="20">
        <f t="shared" si="5"/>
        <v>45413</v>
      </c>
      <c r="Q26" s="18" t="str">
        <f>IF(J26&gt;='Pivot Table'!$R$4,"High Value","Standard")</f>
        <v>High Value</v>
      </c>
      <c r="R26" s="21">
        <f t="shared" ca="1" si="6"/>
        <v>46304.639624537034</v>
      </c>
    </row>
    <row r="27" spans="1:25" ht="15.75" customHeight="1" x14ac:dyDescent="0.3">
      <c r="A27" s="11" t="s">
        <v>64</v>
      </c>
      <c r="B27" s="12" t="s">
        <v>87</v>
      </c>
      <c r="C27" s="11" t="s">
        <v>41</v>
      </c>
      <c r="D27" s="11" t="s">
        <v>42</v>
      </c>
      <c r="E27" s="13">
        <v>1173.1199999999999</v>
      </c>
      <c r="F27" s="14">
        <v>18</v>
      </c>
      <c r="G27" s="15">
        <v>0</v>
      </c>
      <c r="H27" s="16">
        <v>45418</v>
      </c>
      <c r="I27" s="13">
        <v>293.27999999999997</v>
      </c>
      <c r="J27" s="17">
        <f t="shared" si="0"/>
        <v>4259.22</v>
      </c>
      <c r="K27" s="18" t="str">
        <f>IF(INDEX('Pivot Table'!$N$5:$N$34,MATCH(A27,'Pivot Table'!$I$5:$I$34,0))&lt;=10,"Top 10","")</f>
        <v/>
      </c>
      <c r="L27" s="17">
        <f t="shared" si="1"/>
        <v>1173.1199999999999</v>
      </c>
      <c r="M27" s="17">
        <f t="shared" si="2"/>
        <v>1055.81</v>
      </c>
      <c r="N27" s="17">
        <f t="shared" si="3"/>
        <v>175.97</v>
      </c>
      <c r="O27" s="19">
        <f t="shared" si="4"/>
        <v>0.25</v>
      </c>
      <c r="P27" s="20">
        <f t="shared" si="5"/>
        <v>45413</v>
      </c>
      <c r="Q27" s="18" t="str">
        <f>IF(J27&gt;='Pivot Table'!$R$4,"High Value","Standard")</f>
        <v>Standard</v>
      </c>
      <c r="R27" s="21">
        <f t="shared" ca="1" si="6"/>
        <v>46304.639624537034</v>
      </c>
    </row>
    <row r="28" spans="1:25" ht="15.75" customHeight="1" x14ac:dyDescent="0.3">
      <c r="A28" s="11" t="s">
        <v>45</v>
      </c>
      <c r="B28" s="12" t="s">
        <v>88</v>
      </c>
      <c r="C28" s="11" t="s">
        <v>47</v>
      </c>
      <c r="D28" s="11" t="s">
        <v>52</v>
      </c>
      <c r="E28" s="13">
        <v>675.54</v>
      </c>
      <c r="F28" s="14">
        <v>17</v>
      </c>
      <c r="G28" s="15">
        <v>0</v>
      </c>
      <c r="H28" s="16">
        <v>45420</v>
      </c>
      <c r="I28" s="13">
        <v>236.44</v>
      </c>
      <c r="J28" s="17">
        <f t="shared" si="0"/>
        <v>7928.71</v>
      </c>
      <c r="K28" s="18" t="str">
        <f>IF(INDEX('Pivot Table'!$N$5:$N$34,MATCH(A28,'Pivot Table'!$I$5:$I$34,0))&lt;=10,"Top 10","")</f>
        <v>Top 10</v>
      </c>
      <c r="L28" s="17">
        <f t="shared" si="1"/>
        <v>675.54</v>
      </c>
      <c r="M28" s="17">
        <f t="shared" si="2"/>
        <v>607.99</v>
      </c>
      <c r="N28" s="17">
        <f t="shared" si="3"/>
        <v>168.89</v>
      </c>
      <c r="O28" s="19">
        <f t="shared" si="4"/>
        <v>0.35000148029724371</v>
      </c>
      <c r="P28" s="20">
        <f t="shared" si="5"/>
        <v>45413</v>
      </c>
      <c r="Q28" s="18" t="str">
        <f>IF(J28&gt;='Pivot Table'!$R$4,"High Value","Standard")</f>
        <v>Standard</v>
      </c>
      <c r="R28" s="21">
        <f t="shared" ca="1" si="6"/>
        <v>46304.639624537034</v>
      </c>
    </row>
    <row r="29" spans="1:25" ht="15.75" customHeight="1" x14ac:dyDescent="0.3">
      <c r="A29" s="11" t="s">
        <v>50</v>
      </c>
      <c r="B29" s="12" t="s">
        <v>27</v>
      </c>
      <c r="C29" s="11" t="s">
        <v>63</v>
      </c>
      <c r="D29" s="11" t="s">
        <v>25</v>
      </c>
      <c r="E29" s="13">
        <v>939.09</v>
      </c>
      <c r="F29" s="14">
        <v>2</v>
      </c>
      <c r="G29" s="15">
        <v>0.05</v>
      </c>
      <c r="H29" s="16">
        <v>45422</v>
      </c>
      <c r="I29" s="13">
        <v>356.85</v>
      </c>
      <c r="J29" s="17">
        <f t="shared" si="0"/>
        <v>9941.8799999999992</v>
      </c>
      <c r="K29" s="18" t="str">
        <f>IF(INDEX('Pivot Table'!$N$5:$N$34,MATCH(A29,'Pivot Table'!$I$5:$I$34,0))&lt;=10,"Top 10","")</f>
        <v>Top 10</v>
      </c>
      <c r="L29" s="17">
        <f t="shared" si="1"/>
        <v>988.52</v>
      </c>
      <c r="M29" s="17">
        <f t="shared" si="2"/>
        <v>889.67</v>
      </c>
      <c r="N29" s="17">
        <f t="shared" si="3"/>
        <v>307.43</v>
      </c>
      <c r="O29" s="19">
        <f t="shared" si="4"/>
        <v>0.37999552758521549</v>
      </c>
      <c r="P29" s="20">
        <f t="shared" si="5"/>
        <v>45413</v>
      </c>
      <c r="Q29" s="18" t="str">
        <f>IF(J29&gt;='Pivot Table'!$R$4,"High Value","Standard")</f>
        <v>High Value</v>
      </c>
      <c r="R29" s="21">
        <f t="shared" ca="1" si="6"/>
        <v>46304.639624537034</v>
      </c>
    </row>
    <row r="30" spans="1:25" ht="15.75" customHeight="1" x14ac:dyDescent="0.3">
      <c r="A30" s="11" t="s">
        <v>89</v>
      </c>
      <c r="B30" s="12" t="s">
        <v>90</v>
      </c>
      <c r="C30" s="11" t="s">
        <v>33</v>
      </c>
      <c r="D30" s="11" t="s">
        <v>69</v>
      </c>
      <c r="E30" s="13">
        <v>983.34</v>
      </c>
      <c r="F30" s="14">
        <v>19</v>
      </c>
      <c r="G30" s="15">
        <v>0.1</v>
      </c>
      <c r="H30" s="16">
        <v>45426</v>
      </c>
      <c r="I30" s="13">
        <v>398.25</v>
      </c>
      <c r="J30" s="17">
        <f t="shared" si="0"/>
        <v>10293.870000000001</v>
      </c>
      <c r="K30" s="18" t="str">
        <f>IF(INDEX('Pivot Table'!$N$5:$N$34,MATCH(A30,'Pivot Table'!$I$5:$I$34,0))&lt;=10,"Top 10","")</f>
        <v>Top 10</v>
      </c>
      <c r="L30" s="17">
        <f t="shared" si="1"/>
        <v>1092.5999999999999</v>
      </c>
      <c r="M30" s="17">
        <f t="shared" si="2"/>
        <v>983.34</v>
      </c>
      <c r="N30" s="17">
        <f t="shared" si="3"/>
        <v>398.25</v>
      </c>
      <c r="O30" s="19">
        <f t="shared" si="4"/>
        <v>0.40499725425590333</v>
      </c>
      <c r="P30" s="20">
        <f t="shared" si="5"/>
        <v>45413</v>
      </c>
      <c r="Q30" s="18" t="str">
        <f>IF(J30&gt;='Pivot Table'!$R$4,"High Value","Standard")</f>
        <v>High Value</v>
      </c>
      <c r="R30" s="21">
        <f t="shared" ca="1" si="6"/>
        <v>46304.639624537034</v>
      </c>
    </row>
    <row r="31" spans="1:25" ht="15.75" customHeight="1" x14ac:dyDescent="0.3">
      <c r="A31" s="11" t="s">
        <v>89</v>
      </c>
      <c r="B31" s="12" t="s">
        <v>46</v>
      </c>
      <c r="C31" s="11" t="s">
        <v>41</v>
      </c>
      <c r="D31" s="11" t="s">
        <v>42</v>
      </c>
      <c r="E31" s="13">
        <v>801.21</v>
      </c>
      <c r="F31" s="14">
        <v>3</v>
      </c>
      <c r="G31" s="15">
        <v>0.2</v>
      </c>
      <c r="H31" s="16">
        <v>45426</v>
      </c>
      <c r="I31" s="13">
        <v>160.24</v>
      </c>
      <c r="J31" s="17">
        <f t="shared" si="0"/>
        <v>10293.870000000001</v>
      </c>
      <c r="K31" s="18" t="str">
        <f>IF(INDEX('Pivot Table'!$N$5:$N$34,MATCH(A31,'Pivot Table'!$I$5:$I$34,0))&lt;=10,"Top 10","")</f>
        <v>Top 10</v>
      </c>
      <c r="L31" s="17">
        <f t="shared" si="1"/>
        <v>1001.51</v>
      </c>
      <c r="M31" s="17">
        <f t="shared" si="2"/>
        <v>901.36</v>
      </c>
      <c r="N31" s="17">
        <f t="shared" si="3"/>
        <v>260.39</v>
      </c>
      <c r="O31" s="19">
        <f t="shared" si="4"/>
        <v>0.19999750377553949</v>
      </c>
      <c r="P31" s="20">
        <f t="shared" si="5"/>
        <v>45413</v>
      </c>
      <c r="Q31" s="18" t="str">
        <f>IF(J31&gt;='Pivot Table'!$R$4,"High Value","Standard")</f>
        <v>High Value</v>
      </c>
      <c r="R31" s="21">
        <f t="shared" ca="1" si="6"/>
        <v>46304.639624537034</v>
      </c>
    </row>
    <row r="32" spans="1:25" ht="15.75" customHeight="1" x14ac:dyDescent="0.3">
      <c r="A32" s="11" t="s">
        <v>91</v>
      </c>
      <c r="B32" s="12" t="s">
        <v>92</v>
      </c>
      <c r="C32" s="11" t="s">
        <v>47</v>
      </c>
      <c r="D32" s="11" t="s">
        <v>42</v>
      </c>
      <c r="E32" s="13">
        <v>1450.71</v>
      </c>
      <c r="F32" s="14">
        <v>5</v>
      </c>
      <c r="G32" s="15">
        <v>0.1</v>
      </c>
      <c r="H32" s="16">
        <v>45427</v>
      </c>
      <c r="I32" s="13">
        <v>326.41000000000003</v>
      </c>
      <c r="J32" s="17">
        <f t="shared" si="0"/>
        <v>6716.52</v>
      </c>
      <c r="K32" s="18" t="str">
        <f>IF(INDEX('Pivot Table'!$N$5:$N$34,MATCH(A32,'Pivot Table'!$I$5:$I$34,0))&lt;=10,"Top 10","")</f>
        <v/>
      </c>
      <c r="L32" s="17">
        <f t="shared" si="1"/>
        <v>1611.9</v>
      </c>
      <c r="M32" s="17">
        <f t="shared" si="2"/>
        <v>1450.71</v>
      </c>
      <c r="N32" s="17">
        <f t="shared" si="3"/>
        <v>326.41000000000003</v>
      </c>
      <c r="O32" s="19">
        <f t="shared" si="4"/>
        <v>0.22500017232941114</v>
      </c>
      <c r="P32" s="20">
        <f t="shared" si="5"/>
        <v>45413</v>
      </c>
      <c r="Q32" s="18" t="str">
        <f>IF(J32&gt;='Pivot Table'!$R$4,"High Value","Standard")</f>
        <v>Standard</v>
      </c>
      <c r="R32" s="21">
        <f t="shared" ca="1" si="6"/>
        <v>46304.639624537034</v>
      </c>
    </row>
    <row r="33" spans="1:27" ht="15.75" customHeight="1" x14ac:dyDescent="0.3">
      <c r="A33" s="11" t="s">
        <v>86</v>
      </c>
      <c r="B33" s="12" t="s">
        <v>93</v>
      </c>
      <c r="C33" s="11" t="s">
        <v>63</v>
      </c>
      <c r="D33" s="11" t="s">
        <v>25</v>
      </c>
      <c r="E33" s="13">
        <v>1023.21</v>
      </c>
      <c r="F33" s="14">
        <v>18</v>
      </c>
      <c r="G33" s="15">
        <v>0.05</v>
      </c>
      <c r="H33" s="16">
        <v>45428</v>
      </c>
      <c r="I33" s="13">
        <v>388.82</v>
      </c>
      <c r="J33" s="17">
        <f t="shared" si="0"/>
        <v>4418.2800000000007</v>
      </c>
      <c r="K33" s="18" t="str">
        <f>IF(INDEX('Pivot Table'!$N$5:$N$34,MATCH(A33,'Pivot Table'!$I$5:$I$34,0))&lt;=10,"Top 10","")</f>
        <v/>
      </c>
      <c r="L33" s="17">
        <f t="shared" si="1"/>
        <v>1077.06</v>
      </c>
      <c r="M33" s="17">
        <f t="shared" si="2"/>
        <v>969.35</v>
      </c>
      <c r="N33" s="17">
        <f t="shared" si="3"/>
        <v>334.96</v>
      </c>
      <c r="O33" s="19">
        <f t="shared" si="4"/>
        <v>0.38000019546329689</v>
      </c>
      <c r="P33" s="20">
        <f t="shared" si="5"/>
        <v>45413</v>
      </c>
      <c r="Q33" s="18" t="str">
        <f>IF(J33&gt;='Pivot Table'!$R$4,"High Value","Standard")</f>
        <v>Standard</v>
      </c>
      <c r="R33" s="21">
        <f t="shared" ca="1" si="6"/>
        <v>46304.639624537034</v>
      </c>
    </row>
    <row r="34" spans="1:27" ht="15.75" customHeight="1" x14ac:dyDescent="0.3">
      <c r="A34" s="11" t="s">
        <v>55</v>
      </c>
      <c r="B34" s="12" t="s">
        <v>84</v>
      </c>
      <c r="C34" s="11" t="s">
        <v>24</v>
      </c>
      <c r="D34" s="11" t="s">
        <v>52</v>
      </c>
      <c r="E34" s="13">
        <v>853.72</v>
      </c>
      <c r="F34" s="14">
        <v>5</v>
      </c>
      <c r="G34" s="15">
        <v>0.15</v>
      </c>
      <c r="H34" s="16">
        <v>45428</v>
      </c>
      <c r="I34" s="13">
        <v>253.98</v>
      </c>
      <c r="J34" s="17">
        <f t="shared" ref="J34:J65" si="12">SUMIFS($E$2:$E$201,$A$2:$A$201,A34)</f>
        <v>6549.55</v>
      </c>
      <c r="K34" s="18" t="str">
        <f>IF(INDEX('Pivot Table'!$N$5:$N$34,MATCH(A34,'Pivot Table'!$I$5:$I$34,0))&lt;=10,"Top 10","")</f>
        <v/>
      </c>
      <c r="L34" s="17">
        <f t="shared" ref="L34:L65" si="13">ROUND(E34/(1-G34),2)</f>
        <v>1004.38</v>
      </c>
      <c r="M34" s="17">
        <f t="shared" ref="M34:M65" si="14">ROUND(L34*(1-$U$3),2)</f>
        <v>903.94</v>
      </c>
      <c r="N34" s="17">
        <f t="shared" ref="N34:N65" si="15">ROUND(M34-(E34-I34),2)</f>
        <v>304.2</v>
      </c>
      <c r="O34" s="19">
        <f t="shared" ref="O34:O65" si="16">I34/E34</f>
        <v>0.29749800871480109</v>
      </c>
      <c r="P34" s="20">
        <f t="shared" ref="P34:P65" si="17">DATE(YEAR(H34),MONTH(H34),1)</f>
        <v>45413</v>
      </c>
      <c r="Q34" s="18" t="str">
        <f>IF(J34&gt;='Pivot Table'!$R$4,"High Value","Standard")</f>
        <v>Standard</v>
      </c>
      <c r="R34" s="21">
        <f t="shared" ref="R34:R65" ca="1" si="18">NOW()</f>
        <v>46304.639624537034</v>
      </c>
    </row>
    <row r="35" spans="1:27" ht="15.75" customHeight="1" x14ac:dyDescent="0.3">
      <c r="A35" s="11" t="s">
        <v>94</v>
      </c>
      <c r="B35" s="12" t="s">
        <v>80</v>
      </c>
      <c r="C35" s="11" t="s">
        <v>41</v>
      </c>
      <c r="D35" s="11" t="s">
        <v>42</v>
      </c>
      <c r="E35" s="13">
        <v>967.89</v>
      </c>
      <c r="F35" s="14">
        <v>10</v>
      </c>
      <c r="G35" s="15">
        <v>0.1</v>
      </c>
      <c r="H35" s="16">
        <v>45429</v>
      </c>
      <c r="I35" s="13">
        <v>217.78</v>
      </c>
      <c r="J35" s="17">
        <f t="shared" si="12"/>
        <v>8740.18</v>
      </c>
      <c r="K35" s="18" t="str">
        <f>IF(INDEX('Pivot Table'!$N$5:$N$34,MATCH(A35,'Pivot Table'!$I$5:$I$34,0))&lt;=10,"Top 10","")</f>
        <v>Top 10</v>
      </c>
      <c r="L35" s="17">
        <f t="shared" si="13"/>
        <v>1075.43</v>
      </c>
      <c r="M35" s="17">
        <f t="shared" si="14"/>
        <v>967.89</v>
      </c>
      <c r="N35" s="17">
        <f t="shared" si="15"/>
        <v>217.78</v>
      </c>
      <c r="O35" s="19">
        <f t="shared" si="16"/>
        <v>0.22500490758247321</v>
      </c>
      <c r="P35" s="20">
        <f t="shared" si="17"/>
        <v>45413</v>
      </c>
      <c r="Q35" s="18" t="str">
        <f>IF(J35&gt;='Pivot Table'!$R$4,"High Value","Standard")</f>
        <v>High Value</v>
      </c>
      <c r="R35" s="21">
        <f t="shared" ca="1" si="18"/>
        <v>46304.639624537034</v>
      </c>
    </row>
    <row r="36" spans="1:27" ht="15.75" customHeight="1" x14ac:dyDescent="0.3">
      <c r="A36" s="11" t="s">
        <v>95</v>
      </c>
      <c r="B36" s="12" t="s">
        <v>90</v>
      </c>
      <c r="C36" s="11" t="s">
        <v>47</v>
      </c>
      <c r="D36" s="11" t="s">
        <v>69</v>
      </c>
      <c r="E36" s="13">
        <v>1200.9000000000001</v>
      </c>
      <c r="F36" s="14">
        <v>14</v>
      </c>
      <c r="G36" s="15">
        <v>0.05</v>
      </c>
      <c r="H36" s="16">
        <v>45429</v>
      </c>
      <c r="I36" s="13">
        <v>513.38</v>
      </c>
      <c r="J36" s="17">
        <f t="shared" si="12"/>
        <v>11611.060000000001</v>
      </c>
      <c r="K36" s="18" t="str">
        <f>IF(INDEX('Pivot Table'!$N$5:$N$34,MATCH(A36,'Pivot Table'!$I$5:$I$34,0))&lt;=10,"Top 10","")</f>
        <v>Top 10</v>
      </c>
      <c r="L36" s="17">
        <f t="shared" si="13"/>
        <v>1264.1099999999999</v>
      </c>
      <c r="M36" s="17">
        <f t="shared" si="14"/>
        <v>1137.7</v>
      </c>
      <c r="N36" s="17">
        <f t="shared" si="15"/>
        <v>450.18</v>
      </c>
      <c r="O36" s="19">
        <f t="shared" si="16"/>
        <v>0.42749604463319174</v>
      </c>
      <c r="P36" s="20">
        <f t="shared" si="17"/>
        <v>45413</v>
      </c>
      <c r="Q36" s="18" t="str">
        <f>IF(J36&gt;='Pivot Table'!$R$4,"High Value","Standard")</f>
        <v>High Value</v>
      </c>
      <c r="R36" s="21">
        <f t="shared" ca="1" si="18"/>
        <v>46304.639624537034</v>
      </c>
    </row>
    <row r="37" spans="1:27" ht="15.75" customHeight="1" x14ac:dyDescent="0.3">
      <c r="A37" s="11" t="s">
        <v>26</v>
      </c>
      <c r="B37" s="12" t="s">
        <v>51</v>
      </c>
      <c r="C37" s="11" t="s">
        <v>24</v>
      </c>
      <c r="D37" s="11" t="s">
        <v>25</v>
      </c>
      <c r="E37" s="13">
        <v>472.38</v>
      </c>
      <c r="F37" s="14">
        <v>12</v>
      </c>
      <c r="G37" s="15">
        <v>0.2</v>
      </c>
      <c r="H37" s="16">
        <v>45429</v>
      </c>
      <c r="I37" s="13">
        <v>151.16</v>
      </c>
      <c r="J37" s="17">
        <f t="shared" si="12"/>
        <v>8339</v>
      </c>
      <c r="K37" s="18" t="str">
        <f>IF(INDEX('Pivot Table'!$N$5:$N$34,MATCH(A37,'Pivot Table'!$I$5:$I$34,0))&lt;=10,"Top 10","")</f>
        <v>Top 10</v>
      </c>
      <c r="L37" s="17">
        <f t="shared" si="13"/>
        <v>590.48</v>
      </c>
      <c r="M37" s="17">
        <f t="shared" si="14"/>
        <v>531.42999999999995</v>
      </c>
      <c r="N37" s="17">
        <f t="shared" si="15"/>
        <v>210.21</v>
      </c>
      <c r="O37" s="19">
        <f t="shared" si="16"/>
        <v>0.31999661289639697</v>
      </c>
      <c r="P37" s="20">
        <f t="shared" si="17"/>
        <v>45413</v>
      </c>
      <c r="Q37" s="18" t="str">
        <f>IF(J37&gt;='Pivot Table'!$R$4,"High Value","Standard")</f>
        <v>High Value</v>
      </c>
      <c r="R37" s="21">
        <f t="shared" ca="1" si="18"/>
        <v>46304.639624537034</v>
      </c>
    </row>
    <row r="38" spans="1:27" ht="15.75" customHeight="1" x14ac:dyDescent="0.3">
      <c r="A38" s="11" t="s">
        <v>22</v>
      </c>
      <c r="B38" s="12" t="s">
        <v>92</v>
      </c>
      <c r="C38" s="11" t="s">
        <v>33</v>
      </c>
      <c r="D38" s="11" t="s">
        <v>69</v>
      </c>
      <c r="E38" s="13">
        <v>840.92</v>
      </c>
      <c r="F38" s="14">
        <v>9</v>
      </c>
      <c r="G38" s="15">
        <v>0.05</v>
      </c>
      <c r="H38" s="16">
        <v>45429</v>
      </c>
      <c r="I38" s="13">
        <v>359.49</v>
      </c>
      <c r="J38" s="17">
        <f t="shared" si="12"/>
        <v>4640.1099999999997</v>
      </c>
      <c r="K38" s="18" t="str">
        <f>IF(INDEX('Pivot Table'!$N$5:$N$34,MATCH(A38,'Pivot Table'!$I$5:$I$34,0))&lt;=10,"Top 10","")</f>
        <v/>
      </c>
      <c r="L38" s="17">
        <f t="shared" si="13"/>
        <v>885.18</v>
      </c>
      <c r="M38" s="17">
        <f t="shared" si="14"/>
        <v>796.66</v>
      </c>
      <c r="N38" s="17">
        <f t="shared" si="15"/>
        <v>315.23</v>
      </c>
      <c r="O38" s="19">
        <f t="shared" si="16"/>
        <v>0.42749607572658521</v>
      </c>
      <c r="P38" s="20">
        <f t="shared" si="17"/>
        <v>45413</v>
      </c>
      <c r="Q38" s="18" t="str">
        <f>IF(J38&gt;='Pivot Table'!$R$4,"High Value","Standard")</f>
        <v>Standard</v>
      </c>
      <c r="R38" s="21">
        <f t="shared" ca="1" si="18"/>
        <v>46304.639624537034</v>
      </c>
    </row>
    <row r="39" spans="1:27" ht="15.75" customHeight="1" x14ac:dyDescent="0.3">
      <c r="A39" s="11" t="s">
        <v>89</v>
      </c>
      <c r="B39" s="12" t="s">
        <v>85</v>
      </c>
      <c r="C39" s="11" t="s">
        <v>63</v>
      </c>
      <c r="D39" s="11" t="s">
        <v>52</v>
      </c>
      <c r="E39" s="13">
        <v>1410.06</v>
      </c>
      <c r="F39" s="14">
        <v>11</v>
      </c>
      <c r="G39" s="15">
        <v>0.05</v>
      </c>
      <c r="H39" s="16">
        <v>45434</v>
      </c>
      <c r="I39" s="13">
        <v>468.84</v>
      </c>
      <c r="J39" s="17">
        <f t="shared" si="12"/>
        <v>10293.870000000001</v>
      </c>
      <c r="K39" s="18" t="str">
        <f>IF(INDEX('Pivot Table'!$N$5:$N$34,MATCH(A39,'Pivot Table'!$I$5:$I$34,0))&lt;=10,"Top 10","")</f>
        <v>Top 10</v>
      </c>
      <c r="L39" s="17">
        <f t="shared" si="13"/>
        <v>1484.27</v>
      </c>
      <c r="M39" s="17">
        <f t="shared" si="14"/>
        <v>1335.84</v>
      </c>
      <c r="N39" s="17">
        <f t="shared" si="15"/>
        <v>394.62</v>
      </c>
      <c r="O39" s="19">
        <f t="shared" si="16"/>
        <v>0.33249648951108463</v>
      </c>
      <c r="P39" s="20">
        <f t="shared" si="17"/>
        <v>45413</v>
      </c>
      <c r="Q39" s="18" t="str">
        <f>IF(J39&gt;='Pivot Table'!$R$4,"High Value","Standard")</f>
        <v>High Value</v>
      </c>
      <c r="R39" s="21">
        <f t="shared" ca="1" si="18"/>
        <v>46304.639624537034</v>
      </c>
    </row>
    <row r="40" spans="1:27" ht="15.75" customHeight="1" x14ac:dyDescent="0.3">
      <c r="A40" s="11" t="s">
        <v>81</v>
      </c>
      <c r="B40" s="12" t="s">
        <v>96</v>
      </c>
      <c r="C40" s="11" t="s">
        <v>63</v>
      </c>
      <c r="D40" s="11" t="s">
        <v>52</v>
      </c>
      <c r="E40" s="13">
        <v>773.09</v>
      </c>
      <c r="F40" s="14">
        <v>13</v>
      </c>
      <c r="G40" s="15">
        <v>0.15</v>
      </c>
      <c r="H40" s="16">
        <v>45434</v>
      </c>
      <c r="I40" s="13">
        <v>229.99</v>
      </c>
      <c r="J40" s="17">
        <f t="shared" si="12"/>
        <v>9760.7999999999993</v>
      </c>
      <c r="K40" s="18" t="str">
        <f>IF(INDEX('Pivot Table'!$N$5:$N$34,MATCH(A40,'Pivot Table'!$I$5:$I$34,0))&lt;=10,"Top 10","")</f>
        <v>Top 10</v>
      </c>
      <c r="L40" s="17">
        <f t="shared" si="13"/>
        <v>909.52</v>
      </c>
      <c r="M40" s="17">
        <f t="shared" si="14"/>
        <v>818.57</v>
      </c>
      <c r="N40" s="17">
        <f t="shared" si="15"/>
        <v>275.47000000000003</v>
      </c>
      <c r="O40" s="19">
        <f t="shared" si="16"/>
        <v>0.29749447024279191</v>
      </c>
      <c r="P40" s="20">
        <f t="shared" si="17"/>
        <v>45413</v>
      </c>
      <c r="Q40" s="18" t="str">
        <f>IF(J40&gt;='Pivot Table'!$R$4,"High Value","Standard")</f>
        <v>High Value</v>
      </c>
      <c r="R40" s="21">
        <f t="shared" ca="1" si="18"/>
        <v>46304.639624537034</v>
      </c>
    </row>
    <row r="41" spans="1:27" ht="15.75" customHeight="1" x14ac:dyDescent="0.3">
      <c r="A41" s="11" t="s">
        <v>97</v>
      </c>
      <c r="B41" s="12" t="s">
        <v>98</v>
      </c>
      <c r="C41" s="11" t="s">
        <v>33</v>
      </c>
      <c r="D41" s="11" t="s">
        <v>25</v>
      </c>
      <c r="E41" s="13">
        <v>580.42999999999995</v>
      </c>
      <c r="F41" s="14">
        <v>19</v>
      </c>
      <c r="G41" s="15">
        <v>0.15</v>
      </c>
      <c r="H41" s="16">
        <v>45435</v>
      </c>
      <c r="I41" s="13">
        <v>197.35</v>
      </c>
      <c r="J41" s="17">
        <f t="shared" si="12"/>
        <v>3369.17</v>
      </c>
      <c r="K41" s="18" t="str">
        <f>IF(INDEX('Pivot Table'!$N$5:$N$34,MATCH(A41,'Pivot Table'!$I$5:$I$34,0))&lt;=10,"Top 10","")</f>
        <v/>
      </c>
      <c r="L41" s="17">
        <f t="shared" si="13"/>
        <v>682.86</v>
      </c>
      <c r="M41" s="17">
        <f t="shared" si="14"/>
        <v>614.57000000000005</v>
      </c>
      <c r="N41" s="17">
        <f t="shared" si="15"/>
        <v>231.49</v>
      </c>
      <c r="O41" s="19">
        <f t="shared" si="16"/>
        <v>0.3400065468704237</v>
      </c>
      <c r="P41" s="20">
        <f t="shared" si="17"/>
        <v>45413</v>
      </c>
      <c r="Q41" s="18" t="str">
        <f>IF(J41&gt;='Pivot Table'!$R$4,"High Value","Standard")</f>
        <v>Standard</v>
      </c>
      <c r="R41" s="21">
        <f t="shared" ca="1" si="18"/>
        <v>46304.639624537034</v>
      </c>
    </row>
    <row r="42" spans="1:27" ht="15.75" customHeight="1" x14ac:dyDescent="0.3">
      <c r="A42" s="11" t="s">
        <v>40</v>
      </c>
      <c r="B42" s="12" t="s">
        <v>79</v>
      </c>
      <c r="C42" s="11" t="s">
        <v>41</v>
      </c>
      <c r="D42" s="11" t="s">
        <v>25</v>
      </c>
      <c r="E42" s="13">
        <v>1151.21</v>
      </c>
      <c r="F42" s="14">
        <v>15</v>
      </c>
      <c r="G42" s="15">
        <v>0.1</v>
      </c>
      <c r="H42" s="16">
        <v>45445</v>
      </c>
      <c r="I42" s="13">
        <v>414.44</v>
      </c>
      <c r="J42" s="17">
        <f t="shared" si="12"/>
        <v>6666.130000000001</v>
      </c>
      <c r="K42" s="18" t="str">
        <f>IF(INDEX('Pivot Table'!$N$5:$N$34,MATCH(A42,'Pivot Table'!$I$5:$I$34,0))&lt;=10,"Top 10","")</f>
        <v/>
      </c>
      <c r="L42" s="17">
        <f t="shared" si="13"/>
        <v>1279.1199999999999</v>
      </c>
      <c r="M42" s="17">
        <f t="shared" si="14"/>
        <v>1151.21</v>
      </c>
      <c r="N42" s="17">
        <f t="shared" si="15"/>
        <v>414.44</v>
      </c>
      <c r="O42" s="19">
        <f t="shared" si="16"/>
        <v>0.36000382206547893</v>
      </c>
      <c r="P42" s="20">
        <f t="shared" si="17"/>
        <v>45444</v>
      </c>
      <c r="Q42" s="18" t="str">
        <f>IF(J42&gt;='Pivot Table'!$R$4,"High Value","Standard")</f>
        <v>Standard</v>
      </c>
      <c r="R42" s="21">
        <f t="shared" ca="1" si="18"/>
        <v>46304.639624537034</v>
      </c>
      <c r="T42" s="7" t="s">
        <v>99</v>
      </c>
      <c r="U42" s="35"/>
      <c r="V42" s="35"/>
      <c r="W42" s="35"/>
      <c r="X42" s="35"/>
      <c r="Y42" s="35"/>
      <c r="Z42" s="35"/>
      <c r="AA42" s="10"/>
    </row>
    <row r="43" spans="1:27" ht="15.75" customHeight="1" x14ac:dyDescent="0.3">
      <c r="A43" s="11" t="s">
        <v>89</v>
      </c>
      <c r="B43" s="12" t="s">
        <v>46</v>
      </c>
      <c r="C43" s="11" t="s">
        <v>63</v>
      </c>
      <c r="D43" s="11" t="s">
        <v>69</v>
      </c>
      <c r="E43" s="13">
        <v>1025.98</v>
      </c>
      <c r="F43" s="14">
        <v>5</v>
      </c>
      <c r="G43" s="15">
        <v>0.2</v>
      </c>
      <c r="H43" s="16">
        <v>45447</v>
      </c>
      <c r="I43" s="13">
        <v>369.35</v>
      </c>
      <c r="J43" s="17">
        <f t="shared" si="12"/>
        <v>10293.870000000001</v>
      </c>
      <c r="K43" s="18" t="str">
        <f>IF(INDEX('Pivot Table'!$N$5:$N$34,MATCH(A43,'Pivot Table'!$I$5:$I$34,0))&lt;=10,"Top 10","")</f>
        <v>Top 10</v>
      </c>
      <c r="L43" s="17">
        <f t="shared" si="13"/>
        <v>1282.48</v>
      </c>
      <c r="M43" s="17">
        <f t="shared" si="14"/>
        <v>1154.23</v>
      </c>
      <c r="N43" s="17">
        <f t="shared" si="15"/>
        <v>497.6</v>
      </c>
      <c r="O43" s="19">
        <f t="shared" si="16"/>
        <v>0.35999727090196693</v>
      </c>
      <c r="P43" s="20">
        <f t="shared" si="17"/>
        <v>45444</v>
      </c>
      <c r="Q43" s="18" t="str">
        <f>IF(J43&gt;='Pivot Table'!$R$4,"High Value","Standard")</f>
        <v>High Value</v>
      </c>
      <c r="R43" s="21">
        <f t="shared" ca="1" si="18"/>
        <v>46304.639624537034</v>
      </c>
      <c r="T43" s="6" t="s">
        <v>6</v>
      </c>
      <c r="U43" s="6"/>
      <c r="V43" s="6" t="s">
        <v>7</v>
      </c>
      <c r="W43" s="6"/>
      <c r="X43" s="6" t="s">
        <v>8</v>
      </c>
      <c r="Y43" s="6"/>
      <c r="Z43" s="6" t="s">
        <v>10</v>
      </c>
      <c r="AA43" s="6"/>
    </row>
    <row r="44" spans="1:27" ht="15.75" customHeight="1" x14ac:dyDescent="0.3">
      <c r="A44" s="11" t="s">
        <v>72</v>
      </c>
      <c r="B44" s="12" t="s">
        <v>93</v>
      </c>
      <c r="C44" s="11" t="s">
        <v>33</v>
      </c>
      <c r="D44" s="11" t="s">
        <v>69</v>
      </c>
      <c r="E44" s="13">
        <v>556.41999999999996</v>
      </c>
      <c r="F44" s="14">
        <v>11</v>
      </c>
      <c r="G44" s="15">
        <v>0.15</v>
      </c>
      <c r="H44" s="16">
        <v>45447</v>
      </c>
      <c r="I44" s="13">
        <v>212.83</v>
      </c>
      <c r="J44" s="17">
        <f t="shared" si="12"/>
        <v>5913.68</v>
      </c>
      <c r="K44" s="18" t="str">
        <f>IF(INDEX('Pivot Table'!$N$5:$N$34,MATCH(A44,'Pivot Table'!$I$5:$I$34,0))&lt;=10,"Top 10","")</f>
        <v/>
      </c>
      <c r="L44" s="17">
        <f t="shared" si="13"/>
        <v>654.61</v>
      </c>
      <c r="M44" s="17">
        <f t="shared" si="14"/>
        <v>589.15</v>
      </c>
      <c r="N44" s="17">
        <f t="shared" si="15"/>
        <v>245.56</v>
      </c>
      <c r="O44" s="19">
        <f t="shared" si="16"/>
        <v>0.38249883181769173</v>
      </c>
      <c r="P44" s="20">
        <f t="shared" si="17"/>
        <v>45444</v>
      </c>
      <c r="Q44" s="18" t="str">
        <f>IF(J44&gt;='Pivot Table'!$R$4,"High Value","Standard")</f>
        <v>Standard</v>
      </c>
      <c r="R44" s="21">
        <f t="shared" ca="1" si="18"/>
        <v>46304.639624537034</v>
      </c>
      <c r="T44" s="22" t="s">
        <v>100</v>
      </c>
      <c r="U44" s="39">
        <v>976.08879999999999</v>
      </c>
      <c r="V44" s="22" t="s">
        <v>100</v>
      </c>
      <c r="W44" s="39">
        <v>9.9949999999999992</v>
      </c>
      <c r="X44" s="22" t="s">
        <v>100</v>
      </c>
      <c r="Y44" s="40">
        <v>9.7250000000000017E-2</v>
      </c>
      <c r="Z44" s="22" t="s">
        <v>100</v>
      </c>
      <c r="AA44" s="39">
        <v>341.43504999999999</v>
      </c>
    </row>
    <row r="45" spans="1:27" ht="15.75" customHeight="1" x14ac:dyDescent="0.3">
      <c r="A45" s="11" t="s">
        <v>94</v>
      </c>
      <c r="B45" s="12" t="s">
        <v>46</v>
      </c>
      <c r="C45" s="11" t="s">
        <v>63</v>
      </c>
      <c r="D45" s="11" t="s">
        <v>25</v>
      </c>
      <c r="E45" s="13">
        <v>840.85</v>
      </c>
      <c r="F45" s="14">
        <v>19</v>
      </c>
      <c r="G45" s="15">
        <v>0.1</v>
      </c>
      <c r="H45" s="16">
        <v>45448</v>
      </c>
      <c r="I45" s="13">
        <v>302.70999999999998</v>
      </c>
      <c r="J45" s="17">
        <f t="shared" si="12"/>
        <v>8740.18</v>
      </c>
      <c r="K45" s="18" t="str">
        <f>IF(INDEX('Pivot Table'!$N$5:$N$34,MATCH(A45,'Pivot Table'!$I$5:$I$34,0))&lt;=10,"Top 10","")</f>
        <v>Top 10</v>
      </c>
      <c r="L45" s="17">
        <f t="shared" si="13"/>
        <v>934.28</v>
      </c>
      <c r="M45" s="17">
        <f t="shared" si="14"/>
        <v>840.85</v>
      </c>
      <c r="N45" s="17">
        <f t="shared" si="15"/>
        <v>302.70999999999998</v>
      </c>
      <c r="O45" s="19">
        <f t="shared" si="16"/>
        <v>0.3600047570910388</v>
      </c>
      <c r="P45" s="20">
        <f t="shared" si="17"/>
        <v>45444</v>
      </c>
      <c r="Q45" s="18" t="str">
        <f>IF(J45&gt;='Pivot Table'!$R$4,"High Value","Standard")</f>
        <v>High Value</v>
      </c>
      <c r="R45" s="21">
        <f t="shared" ca="1" si="18"/>
        <v>46304.639624537034</v>
      </c>
      <c r="T45" s="22" t="s">
        <v>101</v>
      </c>
      <c r="U45" s="39">
        <v>21.161850448978331</v>
      </c>
      <c r="V45" s="22" t="s">
        <v>101</v>
      </c>
      <c r="W45" s="39">
        <v>0.39927682743257598</v>
      </c>
      <c r="X45" s="22" t="s">
        <v>101</v>
      </c>
      <c r="Y45" s="40">
        <v>5.1142413732752773E-3</v>
      </c>
      <c r="Z45" s="22" t="s">
        <v>101</v>
      </c>
      <c r="AA45" s="39">
        <v>9.6001196472332282</v>
      </c>
    </row>
    <row r="46" spans="1:27" ht="15.75" customHeight="1" x14ac:dyDescent="0.3">
      <c r="A46" s="11" t="s">
        <v>58</v>
      </c>
      <c r="B46" s="12" t="s">
        <v>98</v>
      </c>
      <c r="C46" s="11" t="s">
        <v>47</v>
      </c>
      <c r="D46" s="11" t="s">
        <v>52</v>
      </c>
      <c r="E46" s="13">
        <v>1227.25</v>
      </c>
      <c r="F46" s="14">
        <v>12</v>
      </c>
      <c r="G46" s="15">
        <v>0.15</v>
      </c>
      <c r="H46" s="16">
        <v>45448</v>
      </c>
      <c r="I46" s="13">
        <v>365.11</v>
      </c>
      <c r="J46" s="17">
        <f t="shared" si="12"/>
        <v>9371.81</v>
      </c>
      <c r="K46" s="18" t="str">
        <f>IF(INDEX('Pivot Table'!$N$5:$N$34,MATCH(A46,'Pivot Table'!$I$5:$I$34,0))&lt;=10,"Top 10","")</f>
        <v>Top 10</v>
      </c>
      <c r="L46" s="17">
        <f t="shared" si="13"/>
        <v>1443.82</v>
      </c>
      <c r="M46" s="17">
        <f t="shared" si="14"/>
        <v>1299.44</v>
      </c>
      <c r="N46" s="17">
        <f t="shared" si="15"/>
        <v>437.3</v>
      </c>
      <c r="O46" s="19">
        <f t="shared" si="16"/>
        <v>0.2975025463434508</v>
      </c>
      <c r="P46" s="20">
        <f t="shared" si="17"/>
        <v>45444</v>
      </c>
      <c r="Q46" s="18" t="str">
        <f>IF(J46&gt;='Pivot Table'!$R$4,"High Value","Standard")</f>
        <v>High Value</v>
      </c>
      <c r="R46" s="21">
        <f t="shared" ca="1" si="18"/>
        <v>46304.639624537034</v>
      </c>
      <c r="T46" s="22" t="s">
        <v>102</v>
      </c>
      <c r="U46" s="39">
        <v>976.72</v>
      </c>
      <c r="V46" s="22" t="s">
        <v>102</v>
      </c>
      <c r="W46" s="39">
        <v>10</v>
      </c>
      <c r="X46" s="22" t="s">
        <v>102</v>
      </c>
      <c r="Y46" s="40">
        <v>0.1</v>
      </c>
      <c r="Z46" s="22" t="s">
        <v>102</v>
      </c>
      <c r="AA46" s="39">
        <v>332.255</v>
      </c>
    </row>
    <row r="47" spans="1:27" ht="15.75" customHeight="1" x14ac:dyDescent="0.3">
      <c r="A47" s="11" t="s">
        <v>31</v>
      </c>
      <c r="B47" s="12" t="s">
        <v>103</v>
      </c>
      <c r="C47" s="11" t="s">
        <v>63</v>
      </c>
      <c r="D47" s="11" t="s">
        <v>42</v>
      </c>
      <c r="E47" s="13">
        <v>856.7</v>
      </c>
      <c r="F47" s="14">
        <v>2</v>
      </c>
      <c r="G47" s="15">
        <v>0</v>
      </c>
      <c r="H47" s="16">
        <v>45449</v>
      </c>
      <c r="I47" s="13">
        <v>214.18</v>
      </c>
      <c r="J47" s="17">
        <f t="shared" si="12"/>
        <v>3419.2</v>
      </c>
      <c r="K47" s="18" t="str">
        <f>IF(INDEX('Pivot Table'!$N$5:$N$34,MATCH(A47,'Pivot Table'!$I$5:$I$34,0))&lt;=10,"Top 10","")</f>
        <v/>
      </c>
      <c r="L47" s="17">
        <f t="shared" si="13"/>
        <v>856.7</v>
      </c>
      <c r="M47" s="17">
        <f t="shared" si="14"/>
        <v>771.03</v>
      </c>
      <c r="N47" s="17">
        <f t="shared" si="15"/>
        <v>128.51</v>
      </c>
      <c r="O47" s="19">
        <f t="shared" si="16"/>
        <v>0.25000583634878021</v>
      </c>
      <c r="P47" s="20">
        <f t="shared" si="17"/>
        <v>45444</v>
      </c>
      <c r="Q47" s="18" t="str">
        <f>IF(J47&gt;='Pivot Table'!$R$4,"High Value","Standard")</f>
        <v>Standard</v>
      </c>
      <c r="R47" s="21">
        <f t="shared" ca="1" si="18"/>
        <v>46304.639624537034</v>
      </c>
      <c r="T47" s="22" t="s">
        <v>104</v>
      </c>
      <c r="U47" s="41" t="e">
        <v>#N/A</v>
      </c>
      <c r="V47" s="22" t="s">
        <v>104</v>
      </c>
      <c r="W47" s="39">
        <v>8</v>
      </c>
      <c r="X47" s="22" t="s">
        <v>104</v>
      </c>
      <c r="Y47" s="40">
        <v>0.2</v>
      </c>
      <c r="Z47" s="22" t="s">
        <v>104</v>
      </c>
      <c r="AA47" s="41" t="e">
        <v>#N/A</v>
      </c>
    </row>
    <row r="48" spans="1:27" ht="15.75" customHeight="1" x14ac:dyDescent="0.3">
      <c r="A48" s="11" t="s">
        <v>91</v>
      </c>
      <c r="B48" s="12" t="s">
        <v>93</v>
      </c>
      <c r="C48" s="11" t="s">
        <v>63</v>
      </c>
      <c r="D48" s="11" t="s">
        <v>69</v>
      </c>
      <c r="E48" s="13">
        <v>1225.42</v>
      </c>
      <c r="F48" s="14">
        <v>8</v>
      </c>
      <c r="G48" s="15">
        <v>0.15</v>
      </c>
      <c r="H48" s="16">
        <v>45449</v>
      </c>
      <c r="I48" s="13">
        <v>468.72</v>
      </c>
      <c r="J48" s="17">
        <f t="shared" si="12"/>
        <v>6716.52</v>
      </c>
      <c r="K48" s="18" t="str">
        <f>IF(INDEX('Pivot Table'!$N$5:$N$34,MATCH(A48,'Pivot Table'!$I$5:$I$34,0))&lt;=10,"Top 10","")</f>
        <v/>
      </c>
      <c r="L48" s="17">
        <f t="shared" si="13"/>
        <v>1441.67</v>
      </c>
      <c r="M48" s="17">
        <f t="shared" si="14"/>
        <v>1297.5</v>
      </c>
      <c r="N48" s="17">
        <f t="shared" si="15"/>
        <v>540.79999999999995</v>
      </c>
      <c r="O48" s="19">
        <f t="shared" si="16"/>
        <v>0.38249742945275905</v>
      </c>
      <c r="P48" s="20">
        <f t="shared" si="17"/>
        <v>45444</v>
      </c>
      <c r="Q48" s="18" t="str">
        <f>IF(J48&gt;='Pivot Table'!$R$4,"High Value","Standard")</f>
        <v>Standard</v>
      </c>
      <c r="R48" s="21">
        <f t="shared" ca="1" si="18"/>
        <v>46304.639624537034</v>
      </c>
      <c r="T48" s="22" t="s">
        <v>105</v>
      </c>
      <c r="U48" s="39">
        <v>299.27375909856329</v>
      </c>
      <c r="V48" s="22" t="s">
        <v>105</v>
      </c>
      <c r="W48" s="39">
        <v>5.6466270449645091</v>
      </c>
      <c r="X48" s="22" t="s">
        <v>105</v>
      </c>
      <c r="Y48" s="40">
        <v>7.2326295113355005E-2</v>
      </c>
      <c r="Z48" s="22" t="s">
        <v>105</v>
      </c>
      <c r="AA48" s="39">
        <v>135.76619405521649</v>
      </c>
    </row>
    <row r="49" spans="1:33" ht="15.75" customHeight="1" x14ac:dyDescent="0.3">
      <c r="A49" s="11" t="s">
        <v>106</v>
      </c>
      <c r="B49" s="12" t="s">
        <v>59</v>
      </c>
      <c r="C49" s="11" t="s">
        <v>47</v>
      </c>
      <c r="D49" s="11" t="s">
        <v>69</v>
      </c>
      <c r="E49" s="13">
        <v>1001.57</v>
      </c>
      <c r="F49" s="14">
        <v>12</v>
      </c>
      <c r="G49" s="15">
        <v>0</v>
      </c>
      <c r="H49" s="16">
        <v>45450</v>
      </c>
      <c r="I49" s="13">
        <v>450.71</v>
      </c>
      <c r="J49" s="17">
        <f t="shared" si="12"/>
        <v>3762.2900000000004</v>
      </c>
      <c r="K49" s="18" t="str">
        <f>IF(INDEX('Pivot Table'!$N$5:$N$34,MATCH(A49,'Pivot Table'!$I$5:$I$34,0))&lt;=10,"Top 10","")</f>
        <v/>
      </c>
      <c r="L49" s="17">
        <f t="shared" si="13"/>
        <v>1001.57</v>
      </c>
      <c r="M49" s="17">
        <f t="shared" si="14"/>
        <v>901.41</v>
      </c>
      <c r="N49" s="17">
        <f t="shared" si="15"/>
        <v>350.55</v>
      </c>
      <c r="O49" s="19">
        <f t="shared" si="16"/>
        <v>0.4500034945136136</v>
      </c>
      <c r="P49" s="20">
        <f t="shared" si="17"/>
        <v>45444</v>
      </c>
      <c r="Q49" s="18" t="str">
        <f>IF(J49&gt;='Pivot Table'!$R$4,"High Value","Standard")</f>
        <v>Standard</v>
      </c>
      <c r="R49" s="21">
        <f t="shared" ca="1" si="18"/>
        <v>46304.639624537034</v>
      </c>
      <c r="T49" s="22" t="s">
        <v>107</v>
      </c>
      <c r="U49" s="39">
        <v>89564.782884984932</v>
      </c>
      <c r="V49" s="22" t="s">
        <v>107</v>
      </c>
      <c r="W49" s="39">
        <v>31.884396984924621</v>
      </c>
      <c r="X49" s="22" t="s">
        <v>107</v>
      </c>
      <c r="Y49" s="40">
        <v>5.2310929648241196E-3</v>
      </c>
      <c r="Z49" s="22" t="s">
        <v>107</v>
      </c>
      <c r="AA49" s="39">
        <v>18432.459448238689</v>
      </c>
    </row>
    <row r="50" spans="1:33" ht="15.75" customHeight="1" x14ac:dyDescent="0.3">
      <c r="A50" s="11" t="s">
        <v>94</v>
      </c>
      <c r="B50" s="12" t="s">
        <v>51</v>
      </c>
      <c r="C50" s="11" t="s">
        <v>33</v>
      </c>
      <c r="D50" s="11" t="s">
        <v>52</v>
      </c>
      <c r="E50" s="13">
        <v>1186.8499999999999</v>
      </c>
      <c r="F50" s="14">
        <v>19</v>
      </c>
      <c r="G50" s="15">
        <v>0.2</v>
      </c>
      <c r="H50" s="16">
        <v>45451</v>
      </c>
      <c r="I50" s="13">
        <v>332.32</v>
      </c>
      <c r="J50" s="17">
        <f t="shared" si="12"/>
        <v>8740.18</v>
      </c>
      <c r="K50" s="18" t="str">
        <f>IF(INDEX('Pivot Table'!$N$5:$N$34,MATCH(A50,'Pivot Table'!$I$5:$I$34,0))&lt;=10,"Top 10","")</f>
        <v>Top 10</v>
      </c>
      <c r="L50" s="17">
        <f t="shared" si="13"/>
        <v>1483.56</v>
      </c>
      <c r="M50" s="17">
        <f t="shared" si="14"/>
        <v>1335.2</v>
      </c>
      <c r="N50" s="17">
        <f t="shared" si="15"/>
        <v>480.67</v>
      </c>
      <c r="O50" s="19">
        <f t="shared" si="16"/>
        <v>0.2800016851329149</v>
      </c>
      <c r="P50" s="20">
        <f t="shared" si="17"/>
        <v>45444</v>
      </c>
      <c r="Q50" s="18" t="str">
        <f>IF(J50&gt;='Pivot Table'!$R$4,"High Value","Standard")</f>
        <v>High Value</v>
      </c>
      <c r="R50" s="21">
        <f t="shared" ca="1" si="18"/>
        <v>46304.639624537034</v>
      </c>
      <c r="T50" s="22" t="s">
        <v>108</v>
      </c>
      <c r="U50" s="39">
        <v>-8.8595231919745832E-2</v>
      </c>
      <c r="V50" s="22" t="s">
        <v>108</v>
      </c>
      <c r="W50" s="39">
        <v>-1.2091053826620739</v>
      </c>
      <c r="X50" s="22" t="s">
        <v>108</v>
      </c>
      <c r="Y50" s="40">
        <v>-1.325701241585584</v>
      </c>
      <c r="Z50" s="22" t="s">
        <v>108</v>
      </c>
      <c r="AA50" s="39">
        <v>0.26450643813582569</v>
      </c>
    </row>
    <row r="51" spans="1:33" ht="15.75" customHeight="1" x14ac:dyDescent="0.3">
      <c r="A51" s="11" t="s">
        <v>81</v>
      </c>
      <c r="B51" s="12" t="s">
        <v>88</v>
      </c>
      <c r="C51" s="11" t="s">
        <v>41</v>
      </c>
      <c r="D51" s="11" t="s">
        <v>42</v>
      </c>
      <c r="E51" s="13">
        <v>775.45</v>
      </c>
      <c r="F51" s="14">
        <v>6</v>
      </c>
      <c r="G51" s="15">
        <v>0.1</v>
      </c>
      <c r="H51" s="16">
        <v>45457</v>
      </c>
      <c r="I51" s="13">
        <v>174.48</v>
      </c>
      <c r="J51" s="17">
        <f t="shared" si="12"/>
        <v>9760.7999999999993</v>
      </c>
      <c r="K51" s="18" t="str">
        <f>IF(INDEX('Pivot Table'!$N$5:$N$34,MATCH(A51,'Pivot Table'!$I$5:$I$34,0))&lt;=10,"Top 10","")</f>
        <v>Top 10</v>
      </c>
      <c r="L51" s="17">
        <f t="shared" si="13"/>
        <v>861.61</v>
      </c>
      <c r="M51" s="17">
        <f t="shared" si="14"/>
        <v>775.45</v>
      </c>
      <c r="N51" s="17">
        <f t="shared" si="15"/>
        <v>174.48</v>
      </c>
      <c r="O51" s="19">
        <f t="shared" si="16"/>
        <v>0.22500483590173445</v>
      </c>
      <c r="P51" s="20">
        <f t="shared" si="17"/>
        <v>45444</v>
      </c>
      <c r="Q51" s="18" t="str">
        <f>IF(J51&gt;='Pivot Table'!$R$4,"High Value","Standard")</f>
        <v>High Value</v>
      </c>
      <c r="R51" s="21">
        <f t="shared" ca="1" si="18"/>
        <v>46304.639624537034</v>
      </c>
      <c r="T51" s="22" t="s">
        <v>109</v>
      </c>
      <c r="U51" s="39">
        <v>0.14685796564193221</v>
      </c>
      <c r="V51" s="22" t="s">
        <v>109</v>
      </c>
      <c r="W51" s="39">
        <v>6.0845864320778237E-2</v>
      </c>
      <c r="X51" s="22" t="s">
        <v>109</v>
      </c>
      <c r="Y51" s="40">
        <v>9.6827385576684064E-2</v>
      </c>
      <c r="Z51" s="22" t="s">
        <v>109</v>
      </c>
      <c r="AA51" s="39">
        <v>0.57339636063424693</v>
      </c>
    </row>
    <row r="52" spans="1:33" ht="15.75" customHeight="1" x14ac:dyDescent="0.3">
      <c r="A52" s="11" t="s">
        <v>50</v>
      </c>
      <c r="B52" s="12" t="s">
        <v>62</v>
      </c>
      <c r="C52" s="11" t="s">
        <v>41</v>
      </c>
      <c r="D52" s="11" t="s">
        <v>42</v>
      </c>
      <c r="E52" s="13">
        <v>1021.47</v>
      </c>
      <c r="F52" s="14">
        <v>6</v>
      </c>
      <c r="G52" s="15">
        <v>0.05</v>
      </c>
      <c r="H52" s="16">
        <v>45461</v>
      </c>
      <c r="I52" s="13">
        <v>242.6</v>
      </c>
      <c r="J52" s="17">
        <f t="shared" si="12"/>
        <v>9941.8799999999992</v>
      </c>
      <c r="K52" s="18" t="str">
        <f>IF(INDEX('Pivot Table'!$N$5:$N$34,MATCH(A52,'Pivot Table'!$I$5:$I$34,0))&lt;=10,"Top 10","")</f>
        <v>Top 10</v>
      </c>
      <c r="L52" s="17">
        <f t="shared" si="13"/>
        <v>1075.23</v>
      </c>
      <c r="M52" s="17">
        <f t="shared" si="14"/>
        <v>967.71</v>
      </c>
      <c r="N52" s="17">
        <f t="shared" si="15"/>
        <v>188.84</v>
      </c>
      <c r="O52" s="19">
        <f t="shared" si="16"/>
        <v>0.23750085660861306</v>
      </c>
      <c r="P52" s="20">
        <f t="shared" si="17"/>
        <v>45444</v>
      </c>
      <c r="Q52" s="18" t="str">
        <f>IF(J52&gt;='Pivot Table'!$R$4,"High Value","Standard")</f>
        <v>High Value</v>
      </c>
      <c r="R52" s="21">
        <f t="shared" ca="1" si="18"/>
        <v>46304.639624537034</v>
      </c>
      <c r="T52" s="22" t="s">
        <v>110</v>
      </c>
      <c r="U52" s="39">
        <v>1665.15</v>
      </c>
      <c r="V52" s="22" t="s">
        <v>110</v>
      </c>
      <c r="W52" s="39">
        <v>18</v>
      </c>
      <c r="X52" s="22" t="s">
        <v>110</v>
      </c>
      <c r="Y52" s="40">
        <v>0.2</v>
      </c>
      <c r="Z52" s="22" t="s">
        <v>110</v>
      </c>
      <c r="AA52" s="39">
        <v>704.83</v>
      </c>
    </row>
    <row r="53" spans="1:33" ht="15.75" customHeight="1" x14ac:dyDescent="0.3">
      <c r="A53" s="11" t="s">
        <v>95</v>
      </c>
      <c r="B53" s="12" t="s">
        <v>46</v>
      </c>
      <c r="C53" s="11" t="s">
        <v>41</v>
      </c>
      <c r="D53" s="11" t="s">
        <v>28</v>
      </c>
      <c r="E53" s="13">
        <v>1226.6199999999999</v>
      </c>
      <c r="F53" s="14">
        <v>7</v>
      </c>
      <c r="G53" s="15">
        <v>0.1</v>
      </c>
      <c r="H53" s="16">
        <v>45463</v>
      </c>
      <c r="I53" s="13">
        <v>551.98</v>
      </c>
      <c r="J53" s="17">
        <f t="shared" si="12"/>
        <v>11611.060000000001</v>
      </c>
      <c r="K53" s="18" t="str">
        <f>IF(INDEX('Pivot Table'!$N$5:$N$34,MATCH(A53,'Pivot Table'!$I$5:$I$34,0))&lt;=10,"Top 10","")</f>
        <v>Top 10</v>
      </c>
      <c r="L53" s="17">
        <f t="shared" si="13"/>
        <v>1362.91</v>
      </c>
      <c r="M53" s="17">
        <f t="shared" si="14"/>
        <v>1226.6199999999999</v>
      </c>
      <c r="N53" s="17">
        <f t="shared" si="15"/>
        <v>551.98</v>
      </c>
      <c r="O53" s="19">
        <f t="shared" si="16"/>
        <v>0.45000081524840624</v>
      </c>
      <c r="P53" s="20">
        <f t="shared" si="17"/>
        <v>45444</v>
      </c>
      <c r="Q53" s="18" t="str">
        <f>IF(J53&gt;='Pivot Table'!$R$4,"High Value","Standard")</f>
        <v>High Value</v>
      </c>
      <c r="R53" s="21">
        <f t="shared" ca="1" si="18"/>
        <v>46304.639624537034</v>
      </c>
      <c r="T53" s="22" t="s">
        <v>111</v>
      </c>
      <c r="U53" s="39">
        <v>258.51</v>
      </c>
      <c r="V53" s="22" t="s">
        <v>111</v>
      </c>
      <c r="W53" s="39">
        <v>1</v>
      </c>
      <c r="X53" s="22" t="s">
        <v>111</v>
      </c>
      <c r="Y53" s="40">
        <v>0</v>
      </c>
      <c r="Z53" s="22" t="s">
        <v>111</v>
      </c>
      <c r="AA53" s="39">
        <v>64.63</v>
      </c>
    </row>
    <row r="54" spans="1:33" ht="15.75" customHeight="1" x14ac:dyDescent="0.3">
      <c r="A54" s="11" t="s">
        <v>45</v>
      </c>
      <c r="B54" s="12" t="s">
        <v>112</v>
      </c>
      <c r="C54" s="11" t="s">
        <v>41</v>
      </c>
      <c r="D54" s="11" t="s">
        <v>52</v>
      </c>
      <c r="E54" s="13">
        <v>1086.93</v>
      </c>
      <c r="F54" s="14">
        <v>2</v>
      </c>
      <c r="G54" s="15">
        <v>0</v>
      </c>
      <c r="H54" s="16">
        <v>45464</v>
      </c>
      <c r="I54" s="13">
        <v>380.43</v>
      </c>
      <c r="J54" s="17">
        <f t="shared" si="12"/>
        <v>7928.71</v>
      </c>
      <c r="K54" s="18" t="str">
        <f>IF(INDEX('Pivot Table'!$N$5:$N$34,MATCH(A54,'Pivot Table'!$I$5:$I$34,0))&lt;=10,"Top 10","")</f>
        <v>Top 10</v>
      </c>
      <c r="L54" s="17">
        <f t="shared" si="13"/>
        <v>1086.93</v>
      </c>
      <c r="M54" s="17">
        <f t="shared" si="14"/>
        <v>978.24</v>
      </c>
      <c r="N54" s="17">
        <f t="shared" si="15"/>
        <v>271.74</v>
      </c>
      <c r="O54" s="19">
        <f t="shared" si="16"/>
        <v>0.35000414010101843</v>
      </c>
      <c r="P54" s="20">
        <f t="shared" si="17"/>
        <v>45444</v>
      </c>
      <c r="Q54" s="18" t="str">
        <f>IF(J54&gt;='Pivot Table'!$R$4,"High Value","Standard")</f>
        <v>Standard</v>
      </c>
      <c r="R54" s="21">
        <f t="shared" ca="1" si="18"/>
        <v>46304.639624537034</v>
      </c>
      <c r="T54" s="22" t="s">
        <v>113</v>
      </c>
      <c r="U54" s="39">
        <v>1923.66</v>
      </c>
      <c r="V54" s="22" t="s">
        <v>113</v>
      </c>
      <c r="W54" s="39">
        <v>19</v>
      </c>
      <c r="X54" s="22" t="s">
        <v>113</v>
      </c>
      <c r="Y54" s="40">
        <v>0.2</v>
      </c>
      <c r="Z54" s="22" t="s">
        <v>113</v>
      </c>
      <c r="AA54" s="39">
        <v>769.46</v>
      </c>
    </row>
    <row r="55" spans="1:33" ht="15.75" customHeight="1" x14ac:dyDescent="0.3">
      <c r="A55" s="11" t="s">
        <v>114</v>
      </c>
      <c r="B55" s="12" t="s">
        <v>85</v>
      </c>
      <c r="C55" s="11" t="s">
        <v>24</v>
      </c>
      <c r="D55" s="11" t="s">
        <v>25</v>
      </c>
      <c r="E55" s="13">
        <v>942.9</v>
      </c>
      <c r="F55" s="14">
        <v>18</v>
      </c>
      <c r="G55" s="15">
        <v>0.1</v>
      </c>
      <c r="H55" s="16">
        <v>45466</v>
      </c>
      <c r="I55" s="13">
        <v>339.44</v>
      </c>
      <c r="J55" s="17">
        <f t="shared" si="12"/>
        <v>6481.43</v>
      </c>
      <c r="K55" s="18" t="str">
        <f>IF(INDEX('Pivot Table'!$N$5:$N$34,MATCH(A55,'Pivot Table'!$I$5:$I$34,0))&lt;=10,"Top 10","")</f>
        <v/>
      </c>
      <c r="L55" s="17">
        <f t="shared" si="13"/>
        <v>1047.67</v>
      </c>
      <c r="M55" s="17">
        <f t="shared" si="14"/>
        <v>942.9</v>
      </c>
      <c r="N55" s="17">
        <f t="shared" si="15"/>
        <v>339.44</v>
      </c>
      <c r="O55" s="19">
        <f t="shared" si="16"/>
        <v>0.35999575776858628</v>
      </c>
      <c r="P55" s="20">
        <f t="shared" si="17"/>
        <v>45444</v>
      </c>
      <c r="Q55" s="18" t="str">
        <f>IF(J55&gt;='Pivot Table'!$R$4,"High Value","Standard")</f>
        <v>Standard</v>
      </c>
      <c r="R55" s="21">
        <f t="shared" ca="1" si="18"/>
        <v>46304.639624537034</v>
      </c>
      <c r="T55" s="22" t="s">
        <v>115</v>
      </c>
      <c r="U55" s="39">
        <v>195217.76</v>
      </c>
      <c r="V55" s="22" t="s">
        <v>115</v>
      </c>
      <c r="W55" s="39">
        <v>1999</v>
      </c>
      <c r="X55" s="22" t="s">
        <v>115</v>
      </c>
      <c r="Y55" s="40">
        <v>19.45</v>
      </c>
      <c r="Z55" s="22" t="s">
        <v>115</v>
      </c>
      <c r="AA55" s="39">
        <v>68287.010000000009</v>
      </c>
    </row>
    <row r="56" spans="1:33" ht="15.75" customHeight="1" x14ac:dyDescent="0.3">
      <c r="A56" s="11" t="s">
        <v>61</v>
      </c>
      <c r="B56" s="12" t="s">
        <v>68</v>
      </c>
      <c r="C56" s="11" t="s">
        <v>47</v>
      </c>
      <c r="D56" s="11" t="s">
        <v>42</v>
      </c>
      <c r="E56" s="13">
        <v>818.8</v>
      </c>
      <c r="F56" s="14">
        <v>15</v>
      </c>
      <c r="G56" s="15">
        <v>0.15</v>
      </c>
      <c r="H56" s="16">
        <v>45468</v>
      </c>
      <c r="I56" s="13">
        <v>173.99</v>
      </c>
      <c r="J56" s="17">
        <f t="shared" si="12"/>
        <v>6505.2</v>
      </c>
      <c r="K56" s="18" t="str">
        <f>IF(INDEX('Pivot Table'!$N$5:$N$34,MATCH(A56,'Pivot Table'!$I$5:$I$34,0))&lt;=10,"Top 10","")</f>
        <v/>
      </c>
      <c r="L56" s="17">
        <f t="shared" si="13"/>
        <v>963.29</v>
      </c>
      <c r="M56" s="17">
        <f t="shared" si="14"/>
        <v>866.96</v>
      </c>
      <c r="N56" s="17">
        <f t="shared" si="15"/>
        <v>222.15</v>
      </c>
      <c r="O56" s="19">
        <f t="shared" si="16"/>
        <v>0.21249389350268688</v>
      </c>
      <c r="P56" s="20">
        <f t="shared" si="17"/>
        <v>45444</v>
      </c>
      <c r="Q56" s="18" t="str">
        <f>IF(J56&gt;='Pivot Table'!$R$4,"High Value","Standard")</f>
        <v>Standard</v>
      </c>
      <c r="R56" s="21">
        <f t="shared" ca="1" si="18"/>
        <v>46304.639624537034</v>
      </c>
      <c r="T56" s="22" t="s">
        <v>116</v>
      </c>
      <c r="U56" s="42">
        <v>200</v>
      </c>
      <c r="V56" s="22" t="s">
        <v>116</v>
      </c>
      <c r="W56" s="42">
        <v>200</v>
      </c>
      <c r="X56" s="22" t="s">
        <v>116</v>
      </c>
      <c r="Y56" s="42">
        <v>200</v>
      </c>
      <c r="Z56" s="22" t="s">
        <v>116</v>
      </c>
      <c r="AA56" s="42">
        <v>200</v>
      </c>
    </row>
    <row r="57" spans="1:33" ht="15.75" customHeight="1" x14ac:dyDescent="0.3">
      <c r="A57" s="11" t="s">
        <v>40</v>
      </c>
      <c r="B57" s="12" t="s">
        <v>27</v>
      </c>
      <c r="C57" s="11" t="s">
        <v>41</v>
      </c>
      <c r="D57" s="11" t="s">
        <v>52</v>
      </c>
      <c r="E57" s="13">
        <v>919.04</v>
      </c>
      <c r="F57" s="14">
        <v>10</v>
      </c>
      <c r="G57" s="15">
        <v>0.2</v>
      </c>
      <c r="H57" s="16">
        <v>45468</v>
      </c>
      <c r="I57" s="13">
        <v>257.33</v>
      </c>
      <c r="J57" s="17">
        <f t="shared" si="12"/>
        <v>6666.130000000001</v>
      </c>
      <c r="K57" s="18" t="str">
        <f>IF(INDEX('Pivot Table'!$N$5:$N$34,MATCH(A57,'Pivot Table'!$I$5:$I$34,0))&lt;=10,"Top 10","")</f>
        <v/>
      </c>
      <c r="L57" s="17">
        <f t="shared" si="13"/>
        <v>1148.8</v>
      </c>
      <c r="M57" s="17">
        <f t="shared" si="14"/>
        <v>1033.92</v>
      </c>
      <c r="N57" s="17">
        <f t="shared" si="15"/>
        <v>372.21</v>
      </c>
      <c r="O57" s="19">
        <f t="shared" si="16"/>
        <v>0.27999869428969359</v>
      </c>
      <c r="P57" s="20">
        <f t="shared" si="17"/>
        <v>45444</v>
      </c>
      <c r="Q57" s="18" t="str">
        <f>IF(J57&gt;='Pivot Table'!$R$4,"High Value","Standard")</f>
        <v>Standard</v>
      </c>
      <c r="R57" s="21">
        <f t="shared" ca="1" si="18"/>
        <v>46304.639624537034</v>
      </c>
      <c r="T57" s="22" t="s">
        <v>117</v>
      </c>
      <c r="U57" s="39">
        <v>41.730249481339733</v>
      </c>
      <c r="V57" s="22" t="s">
        <v>117</v>
      </c>
      <c r="W57" s="39">
        <v>0.78735655282374628</v>
      </c>
      <c r="X57" s="22" t="s">
        <v>117</v>
      </c>
      <c r="Y57" s="40">
        <v>1.0085061744913261E-2</v>
      </c>
      <c r="Z57" s="22" t="s">
        <v>117</v>
      </c>
      <c r="AA57" s="39">
        <v>18.931018763961401</v>
      </c>
    </row>
    <row r="58" spans="1:33" ht="15.75" customHeight="1" x14ac:dyDescent="0.3">
      <c r="A58" s="11" t="s">
        <v>45</v>
      </c>
      <c r="B58" s="12" t="s">
        <v>118</v>
      </c>
      <c r="C58" s="11" t="s">
        <v>63</v>
      </c>
      <c r="D58" s="11" t="s">
        <v>25</v>
      </c>
      <c r="E58" s="13">
        <v>973.26</v>
      </c>
      <c r="F58" s="14">
        <v>11</v>
      </c>
      <c r="G58" s="15">
        <v>0</v>
      </c>
      <c r="H58" s="16">
        <v>45470</v>
      </c>
      <c r="I58" s="13">
        <v>389.3</v>
      </c>
      <c r="J58" s="17">
        <f t="shared" si="12"/>
        <v>7928.71</v>
      </c>
      <c r="K58" s="18" t="str">
        <f>IF(INDEX('Pivot Table'!$N$5:$N$34,MATCH(A58,'Pivot Table'!$I$5:$I$34,0))&lt;=10,"Top 10","")</f>
        <v>Top 10</v>
      </c>
      <c r="L58" s="17">
        <f t="shared" si="13"/>
        <v>973.26</v>
      </c>
      <c r="M58" s="17">
        <f t="shared" si="14"/>
        <v>875.93</v>
      </c>
      <c r="N58" s="17">
        <f t="shared" si="15"/>
        <v>291.97000000000003</v>
      </c>
      <c r="O58" s="19">
        <f t="shared" si="16"/>
        <v>0.39999589010130904</v>
      </c>
      <c r="P58" s="20">
        <f t="shared" si="17"/>
        <v>45444</v>
      </c>
      <c r="Q58" s="18" t="str">
        <f>IF(J58&gt;='Pivot Table'!$R$4,"High Value","Standard")</f>
        <v>Standard</v>
      </c>
      <c r="R58" s="21">
        <f t="shared" ca="1" si="18"/>
        <v>46304.639624537034</v>
      </c>
    </row>
    <row r="59" spans="1:33" ht="15.75" customHeight="1" x14ac:dyDescent="0.3">
      <c r="A59" s="11" t="s">
        <v>78</v>
      </c>
      <c r="B59" s="12" t="s">
        <v>112</v>
      </c>
      <c r="C59" s="11" t="s">
        <v>47</v>
      </c>
      <c r="D59" s="11" t="s">
        <v>42</v>
      </c>
      <c r="E59" s="13">
        <v>741.61</v>
      </c>
      <c r="F59" s="14">
        <v>1</v>
      </c>
      <c r="G59" s="15">
        <v>0.2</v>
      </c>
      <c r="H59" s="16">
        <v>45471</v>
      </c>
      <c r="I59" s="13">
        <v>148.32</v>
      </c>
      <c r="J59" s="17">
        <f t="shared" si="12"/>
        <v>5779.05</v>
      </c>
      <c r="K59" s="18" t="str">
        <f>IF(INDEX('Pivot Table'!$N$5:$N$34,MATCH(A59,'Pivot Table'!$I$5:$I$34,0))&lt;=10,"Top 10","")</f>
        <v/>
      </c>
      <c r="L59" s="17">
        <f t="shared" si="13"/>
        <v>927.01</v>
      </c>
      <c r="M59" s="17">
        <f t="shared" si="14"/>
        <v>834.31</v>
      </c>
      <c r="N59" s="17">
        <f t="shared" si="15"/>
        <v>241.02</v>
      </c>
      <c r="O59" s="19">
        <f t="shared" si="16"/>
        <v>0.19999730316473616</v>
      </c>
      <c r="P59" s="20">
        <f t="shared" si="17"/>
        <v>45444</v>
      </c>
      <c r="Q59" s="18" t="str">
        <f>IF(J59&gt;='Pivot Table'!$R$4,"High Value","Standard")</f>
        <v>Standard</v>
      </c>
      <c r="R59" s="21">
        <f t="shared" ca="1" si="18"/>
        <v>46304.639624537034</v>
      </c>
    </row>
    <row r="60" spans="1:33" ht="15.75" customHeight="1" x14ac:dyDescent="0.3">
      <c r="A60" s="11" t="s">
        <v>119</v>
      </c>
      <c r="B60" s="12" t="s">
        <v>68</v>
      </c>
      <c r="C60" s="11" t="s">
        <v>47</v>
      </c>
      <c r="D60" s="11" t="s">
        <v>25</v>
      </c>
      <c r="E60" s="13">
        <v>1248.82</v>
      </c>
      <c r="F60" s="14">
        <v>2</v>
      </c>
      <c r="G60" s="15">
        <v>0.1</v>
      </c>
      <c r="H60" s="16">
        <v>45473</v>
      </c>
      <c r="I60" s="13">
        <v>449.58</v>
      </c>
      <c r="J60" s="17">
        <f t="shared" si="12"/>
        <v>8490.18</v>
      </c>
      <c r="K60" s="18" t="str">
        <f>IF(INDEX('Pivot Table'!$N$5:$N$34,MATCH(A60,'Pivot Table'!$I$5:$I$34,0))&lt;=10,"Top 10","")</f>
        <v>Top 10</v>
      </c>
      <c r="L60" s="17">
        <f t="shared" si="13"/>
        <v>1387.58</v>
      </c>
      <c r="M60" s="17">
        <f t="shared" si="14"/>
        <v>1248.82</v>
      </c>
      <c r="N60" s="17">
        <f t="shared" si="15"/>
        <v>449.58</v>
      </c>
      <c r="O60" s="19">
        <f t="shared" si="16"/>
        <v>0.36000384362838522</v>
      </c>
      <c r="P60" s="20">
        <f t="shared" si="17"/>
        <v>45444</v>
      </c>
      <c r="Q60" s="18" t="str">
        <f>IF(J60&gt;='Pivot Table'!$R$4,"High Value","Standard")</f>
        <v>High Value</v>
      </c>
      <c r="R60" s="21">
        <f t="shared" ca="1" si="18"/>
        <v>46304.639624537034</v>
      </c>
      <c r="T60" s="7" t="s">
        <v>120</v>
      </c>
      <c r="U60" s="35"/>
      <c r="V60" s="35"/>
      <c r="W60" s="35"/>
      <c r="X60" s="35"/>
      <c r="Y60" s="35"/>
      <c r="Z60" s="35"/>
      <c r="AA60" s="35"/>
      <c r="AB60" s="10"/>
      <c r="AD60" s="7" t="s">
        <v>121</v>
      </c>
      <c r="AE60" s="35"/>
      <c r="AF60" s="35"/>
      <c r="AG60" s="10"/>
    </row>
    <row r="61" spans="1:33" ht="15.75" customHeight="1" x14ac:dyDescent="0.3">
      <c r="A61" s="11" t="s">
        <v>26</v>
      </c>
      <c r="B61" s="12" t="s">
        <v>96</v>
      </c>
      <c r="C61" s="11" t="s">
        <v>24</v>
      </c>
      <c r="D61" s="11" t="s">
        <v>28</v>
      </c>
      <c r="E61" s="13">
        <v>1360.36</v>
      </c>
      <c r="F61" s="14">
        <v>17</v>
      </c>
      <c r="G61" s="15">
        <v>0</v>
      </c>
      <c r="H61" s="16">
        <v>45473</v>
      </c>
      <c r="I61" s="13">
        <v>680.18</v>
      </c>
      <c r="J61" s="17">
        <f t="shared" si="12"/>
        <v>8339</v>
      </c>
      <c r="K61" s="18" t="str">
        <f>IF(INDEX('Pivot Table'!$N$5:$N$34,MATCH(A61,'Pivot Table'!$I$5:$I$34,0))&lt;=10,"Top 10","")</f>
        <v>Top 10</v>
      </c>
      <c r="L61" s="17">
        <f t="shared" si="13"/>
        <v>1360.36</v>
      </c>
      <c r="M61" s="17">
        <f t="shared" si="14"/>
        <v>1224.32</v>
      </c>
      <c r="N61" s="17">
        <f t="shared" si="15"/>
        <v>544.14</v>
      </c>
      <c r="O61" s="19">
        <f t="shared" si="16"/>
        <v>0.5</v>
      </c>
      <c r="P61" s="20">
        <f t="shared" si="17"/>
        <v>45444</v>
      </c>
      <c r="Q61" s="18" t="str">
        <f>IF(J61&gt;='Pivot Table'!$R$4,"High Value","Standard")</f>
        <v>High Value</v>
      </c>
      <c r="R61" s="21">
        <f t="shared" ca="1" si="18"/>
        <v>46304.639624537034</v>
      </c>
      <c r="T61" s="43" t="s">
        <v>122</v>
      </c>
    </row>
    <row r="62" spans="1:33" ht="15.75" customHeight="1" x14ac:dyDescent="0.3">
      <c r="A62" s="11" t="s">
        <v>94</v>
      </c>
      <c r="B62" s="12" t="s">
        <v>59</v>
      </c>
      <c r="C62" s="11" t="s">
        <v>33</v>
      </c>
      <c r="D62" s="11" t="s">
        <v>25</v>
      </c>
      <c r="E62" s="13">
        <v>1383.3</v>
      </c>
      <c r="F62" s="14">
        <v>8</v>
      </c>
      <c r="G62" s="15">
        <v>0.1</v>
      </c>
      <c r="H62" s="16">
        <v>45478</v>
      </c>
      <c r="I62" s="13">
        <v>497.99</v>
      </c>
      <c r="J62" s="17">
        <f t="shared" si="12"/>
        <v>8740.18</v>
      </c>
      <c r="K62" s="18" t="str">
        <f>IF(INDEX('Pivot Table'!$N$5:$N$34,MATCH(A62,'Pivot Table'!$I$5:$I$34,0))&lt;=10,"Top 10","")</f>
        <v>Top 10</v>
      </c>
      <c r="L62" s="17">
        <f t="shared" si="13"/>
        <v>1537</v>
      </c>
      <c r="M62" s="17">
        <f t="shared" si="14"/>
        <v>1383.3</v>
      </c>
      <c r="N62" s="17">
        <f t="shared" si="15"/>
        <v>497.99</v>
      </c>
      <c r="O62" s="19">
        <f t="shared" si="16"/>
        <v>0.36000144581797155</v>
      </c>
      <c r="P62" s="20">
        <f t="shared" si="17"/>
        <v>45474</v>
      </c>
      <c r="Q62" s="18" t="str">
        <f>IF(J62&gt;='Pivot Table'!$R$4,"High Value","Standard")</f>
        <v>High Value</v>
      </c>
      <c r="R62" s="21">
        <f t="shared" ca="1" si="18"/>
        <v>46304.639624537034</v>
      </c>
      <c r="AD62" s="6" t="s">
        <v>123</v>
      </c>
      <c r="AE62" s="6" t="s">
        <v>124</v>
      </c>
      <c r="AF62" s="6" t="s">
        <v>125</v>
      </c>
      <c r="AG62" s="6" t="s">
        <v>126</v>
      </c>
    </row>
    <row r="63" spans="1:33" ht="15.75" customHeight="1" x14ac:dyDescent="0.3">
      <c r="A63" s="11" t="s">
        <v>64</v>
      </c>
      <c r="B63" s="12" t="s">
        <v>92</v>
      </c>
      <c r="C63" s="11" t="s">
        <v>63</v>
      </c>
      <c r="D63" s="11" t="s">
        <v>69</v>
      </c>
      <c r="E63" s="13">
        <v>488.99</v>
      </c>
      <c r="F63" s="14">
        <v>9</v>
      </c>
      <c r="G63" s="15">
        <v>0</v>
      </c>
      <c r="H63" s="16">
        <v>45479</v>
      </c>
      <c r="I63" s="13">
        <v>220.05</v>
      </c>
      <c r="J63" s="17">
        <f t="shared" si="12"/>
        <v>4259.22</v>
      </c>
      <c r="K63" s="18" t="str">
        <f>IF(INDEX('Pivot Table'!$N$5:$N$34,MATCH(A63,'Pivot Table'!$I$5:$I$34,0))&lt;=10,"Top 10","")</f>
        <v/>
      </c>
      <c r="L63" s="17">
        <f t="shared" si="13"/>
        <v>488.99</v>
      </c>
      <c r="M63" s="17">
        <f t="shared" si="14"/>
        <v>440.09</v>
      </c>
      <c r="N63" s="17">
        <f t="shared" si="15"/>
        <v>171.15</v>
      </c>
      <c r="O63" s="19">
        <f t="shared" si="16"/>
        <v>0.45000920264218086</v>
      </c>
      <c r="P63" s="20">
        <f t="shared" si="17"/>
        <v>45474</v>
      </c>
      <c r="Q63" s="18" t="str">
        <f>IF(J63&gt;='Pivot Table'!$R$4,"High Value","Standard")</f>
        <v>Standard</v>
      </c>
      <c r="R63" s="21">
        <f t="shared" ca="1" si="18"/>
        <v>46304.639624537034</v>
      </c>
      <c r="T63" s="6" t="s">
        <v>127</v>
      </c>
      <c r="U63" s="6"/>
      <c r="AD63" s="44">
        <v>1</v>
      </c>
      <c r="AE63" s="39">
        <v>362.48683031889323</v>
      </c>
      <c r="AF63" s="39">
        <v>-30.936830318893211</v>
      </c>
      <c r="AG63" s="45">
        <v>-0.35946236562867578</v>
      </c>
    </row>
    <row r="64" spans="1:33" ht="15.75" customHeight="1" x14ac:dyDescent="0.3">
      <c r="A64" s="11" t="s">
        <v>58</v>
      </c>
      <c r="B64" s="12" t="s">
        <v>59</v>
      </c>
      <c r="C64" s="11" t="s">
        <v>33</v>
      </c>
      <c r="D64" s="11" t="s">
        <v>52</v>
      </c>
      <c r="E64" s="13">
        <v>933.71</v>
      </c>
      <c r="F64" s="14">
        <v>17</v>
      </c>
      <c r="G64" s="15">
        <v>0.1</v>
      </c>
      <c r="H64" s="16">
        <v>45481</v>
      </c>
      <c r="I64" s="13">
        <v>294.12</v>
      </c>
      <c r="J64" s="17">
        <f t="shared" si="12"/>
        <v>9371.81</v>
      </c>
      <c r="K64" s="18" t="str">
        <f>IF(INDEX('Pivot Table'!$N$5:$N$34,MATCH(A64,'Pivot Table'!$I$5:$I$34,0))&lt;=10,"Top 10","")</f>
        <v>Top 10</v>
      </c>
      <c r="L64" s="17">
        <f t="shared" si="13"/>
        <v>1037.46</v>
      </c>
      <c r="M64" s="17">
        <f t="shared" si="14"/>
        <v>933.71</v>
      </c>
      <c r="N64" s="17">
        <f t="shared" si="15"/>
        <v>294.12</v>
      </c>
      <c r="O64" s="19">
        <f t="shared" si="16"/>
        <v>0.31500144584506967</v>
      </c>
      <c r="P64" s="20">
        <f t="shared" si="17"/>
        <v>45474</v>
      </c>
      <c r="Q64" s="18" t="str">
        <f>IF(J64&gt;='Pivot Table'!$R$4,"High Value","Standard")</f>
        <v>High Value</v>
      </c>
      <c r="R64" s="21">
        <f t="shared" ca="1" si="18"/>
        <v>46304.639624537034</v>
      </c>
      <c r="T64" s="22" t="s">
        <v>128</v>
      </c>
      <c r="U64" s="40">
        <v>0.77340306414342641</v>
      </c>
      <c r="AD64" s="44">
        <v>2</v>
      </c>
      <c r="AE64" s="39">
        <v>385.35913218933331</v>
      </c>
      <c r="AF64" s="39">
        <v>55.150867810666682</v>
      </c>
      <c r="AG64" s="45">
        <v>0.64081100763544141</v>
      </c>
    </row>
    <row r="65" spans="1:33" ht="15.75" customHeight="1" x14ac:dyDescent="0.3">
      <c r="A65" s="11" t="s">
        <v>119</v>
      </c>
      <c r="B65" s="12" t="s">
        <v>23</v>
      </c>
      <c r="C65" s="11" t="s">
        <v>24</v>
      </c>
      <c r="D65" s="11" t="s">
        <v>42</v>
      </c>
      <c r="E65" s="13">
        <v>1005.53</v>
      </c>
      <c r="F65" s="14">
        <v>17</v>
      </c>
      <c r="G65" s="15">
        <v>0.2</v>
      </c>
      <c r="H65" s="16">
        <v>45481</v>
      </c>
      <c r="I65" s="13">
        <v>201.11</v>
      </c>
      <c r="J65" s="17">
        <f t="shared" si="12"/>
        <v>8490.18</v>
      </c>
      <c r="K65" s="18" t="str">
        <f>IF(INDEX('Pivot Table'!$N$5:$N$34,MATCH(A65,'Pivot Table'!$I$5:$I$34,0))&lt;=10,"Top 10","")</f>
        <v>Top 10</v>
      </c>
      <c r="L65" s="17">
        <f t="shared" si="13"/>
        <v>1256.9100000000001</v>
      </c>
      <c r="M65" s="17">
        <f t="shared" si="14"/>
        <v>1131.22</v>
      </c>
      <c r="N65" s="17">
        <f t="shared" si="15"/>
        <v>326.8</v>
      </c>
      <c r="O65" s="19">
        <f t="shared" si="16"/>
        <v>0.2000039780016509</v>
      </c>
      <c r="P65" s="20">
        <f t="shared" si="17"/>
        <v>45474</v>
      </c>
      <c r="Q65" s="18" t="str">
        <f>IF(J65&gt;='Pivot Table'!$R$4,"High Value","Standard")</f>
        <v>High Value</v>
      </c>
      <c r="R65" s="21">
        <f t="shared" ca="1" si="18"/>
        <v>46304.639624537034</v>
      </c>
      <c r="T65" s="22" t="s">
        <v>129</v>
      </c>
      <c r="U65" s="40">
        <v>0.59815229962644101</v>
      </c>
      <c r="AD65" s="44">
        <v>3</v>
      </c>
      <c r="AE65" s="39">
        <v>249.24806012891739</v>
      </c>
      <c r="AF65" s="39">
        <v>36.091939871082531</v>
      </c>
      <c r="AG65" s="45">
        <v>0.41936080563056832</v>
      </c>
    </row>
    <row r="66" spans="1:33" ht="15.75" customHeight="1" x14ac:dyDescent="0.3">
      <c r="A66" s="11" t="s">
        <v>78</v>
      </c>
      <c r="B66" s="12" t="s">
        <v>98</v>
      </c>
      <c r="C66" s="11" t="s">
        <v>41</v>
      </c>
      <c r="D66" s="11" t="s">
        <v>42</v>
      </c>
      <c r="E66" s="13">
        <v>1100.0999999999999</v>
      </c>
      <c r="F66" s="14">
        <v>5</v>
      </c>
      <c r="G66" s="15">
        <v>0.05</v>
      </c>
      <c r="H66" s="16">
        <v>45482</v>
      </c>
      <c r="I66" s="13">
        <v>261.27</v>
      </c>
      <c r="J66" s="17">
        <f t="shared" ref="J66:J97" si="19">SUMIFS($E$2:$E$201,$A$2:$A$201,A66)</f>
        <v>5779.05</v>
      </c>
      <c r="K66" s="18" t="str">
        <f>IF(INDEX('Pivot Table'!$N$5:$N$34,MATCH(A66,'Pivot Table'!$I$5:$I$34,0))&lt;=10,"Top 10","")</f>
        <v/>
      </c>
      <c r="L66" s="17">
        <f t="shared" ref="L66:L97" si="20">ROUND(E66/(1-G66),2)</f>
        <v>1158</v>
      </c>
      <c r="M66" s="17">
        <f t="shared" ref="M66:M97" si="21">ROUND(L66*(1-$U$3),2)</f>
        <v>1042.2</v>
      </c>
      <c r="N66" s="17">
        <f t="shared" ref="N66:N97" si="22">ROUND(M66-(E66-I66),2)</f>
        <v>203.37</v>
      </c>
      <c r="O66" s="19">
        <f t="shared" ref="O66:O97" si="23">I66/E66</f>
        <v>0.23749659121898009</v>
      </c>
      <c r="P66" s="20">
        <f t="shared" ref="P66:P97" si="24">DATE(YEAR(H66),MONTH(H66),1)</f>
        <v>45474</v>
      </c>
      <c r="Q66" s="18" t="str">
        <f>IF(J66&gt;='Pivot Table'!$R$4,"High Value","Standard")</f>
        <v>Standard</v>
      </c>
      <c r="R66" s="21">
        <f t="shared" ref="R66:R97" ca="1" si="25">NOW()</f>
        <v>46304.639624537034</v>
      </c>
      <c r="T66" s="22" t="s">
        <v>130</v>
      </c>
      <c r="U66" s="40">
        <v>0.59612276578617052</v>
      </c>
      <c r="AD66" s="44">
        <v>4</v>
      </c>
      <c r="AE66" s="39">
        <v>265.94529660712328</v>
      </c>
      <c r="AF66" s="39">
        <v>-104.24529660712329</v>
      </c>
      <c r="AG66" s="45">
        <v>-1.2112508145727869</v>
      </c>
    </row>
    <row r="67" spans="1:33" ht="15.75" customHeight="1" x14ac:dyDescent="0.3">
      <c r="A67" s="11" t="s">
        <v>119</v>
      </c>
      <c r="B67" s="12" t="s">
        <v>46</v>
      </c>
      <c r="C67" s="11" t="s">
        <v>47</v>
      </c>
      <c r="D67" s="11" t="s">
        <v>52</v>
      </c>
      <c r="E67" s="13">
        <v>1034.7</v>
      </c>
      <c r="F67" s="14">
        <v>15</v>
      </c>
      <c r="G67" s="15">
        <v>0.15</v>
      </c>
      <c r="H67" s="16">
        <v>45487</v>
      </c>
      <c r="I67" s="13">
        <v>307.82</v>
      </c>
      <c r="J67" s="17">
        <f t="shared" si="19"/>
        <v>8490.18</v>
      </c>
      <c r="K67" s="18" t="str">
        <f>IF(INDEX('Pivot Table'!$N$5:$N$34,MATCH(A67,'Pivot Table'!$I$5:$I$34,0))&lt;=10,"Top 10","")</f>
        <v>Top 10</v>
      </c>
      <c r="L67" s="17">
        <f t="shared" si="20"/>
        <v>1217.29</v>
      </c>
      <c r="M67" s="17">
        <f t="shared" si="21"/>
        <v>1095.56</v>
      </c>
      <c r="N67" s="17">
        <f t="shared" si="22"/>
        <v>368.68</v>
      </c>
      <c r="O67" s="19">
        <f t="shared" si="23"/>
        <v>0.29749685899294481</v>
      </c>
      <c r="P67" s="20">
        <f t="shared" si="24"/>
        <v>45474</v>
      </c>
      <c r="Q67" s="18" t="str">
        <f>IF(J67&gt;='Pivot Table'!$R$4,"High Value","Standard")</f>
        <v>High Value</v>
      </c>
      <c r="R67" s="21">
        <f t="shared" ca="1" si="25"/>
        <v>46304.639624537034</v>
      </c>
      <c r="T67" s="22" t="s">
        <v>101</v>
      </c>
      <c r="U67" s="40">
        <v>86.281230529665137</v>
      </c>
      <c r="AD67" s="44">
        <v>5</v>
      </c>
      <c r="AE67" s="39">
        <v>296.14347151107751</v>
      </c>
      <c r="AF67" s="39">
        <v>-25.10347151107749</v>
      </c>
      <c r="AG67" s="45">
        <v>-0.29168318673400578</v>
      </c>
    </row>
    <row r="68" spans="1:33" ht="15.75" customHeight="1" x14ac:dyDescent="0.3">
      <c r="A68" s="11" t="s">
        <v>114</v>
      </c>
      <c r="B68" s="12" t="s">
        <v>59</v>
      </c>
      <c r="C68" s="11" t="s">
        <v>41</v>
      </c>
      <c r="D68" s="11" t="s">
        <v>25</v>
      </c>
      <c r="E68" s="13">
        <v>876.44</v>
      </c>
      <c r="F68" s="14">
        <v>12</v>
      </c>
      <c r="G68" s="15">
        <v>0.05</v>
      </c>
      <c r="H68" s="16">
        <v>45488</v>
      </c>
      <c r="I68" s="13">
        <v>333.05</v>
      </c>
      <c r="J68" s="17">
        <f t="shared" si="19"/>
        <v>6481.43</v>
      </c>
      <c r="K68" s="18" t="str">
        <f>IF(INDEX('Pivot Table'!$N$5:$N$34,MATCH(A68,'Pivot Table'!$I$5:$I$34,0))&lt;=10,"Top 10","")</f>
        <v/>
      </c>
      <c r="L68" s="17">
        <f t="shared" si="20"/>
        <v>922.57</v>
      </c>
      <c r="M68" s="17">
        <f t="shared" si="21"/>
        <v>830.31</v>
      </c>
      <c r="N68" s="17">
        <f t="shared" si="22"/>
        <v>286.92</v>
      </c>
      <c r="O68" s="19">
        <f t="shared" si="23"/>
        <v>0.38000319474236682</v>
      </c>
      <c r="P68" s="20">
        <f t="shared" si="24"/>
        <v>45474</v>
      </c>
      <c r="Q68" s="18" t="str">
        <f>IF(J68&gt;='Pivot Table'!$R$4,"High Value","Standard")</f>
        <v>Standard</v>
      </c>
      <c r="R68" s="21">
        <f t="shared" ca="1" si="25"/>
        <v>46304.639624537034</v>
      </c>
      <c r="T68" s="22" t="s">
        <v>131</v>
      </c>
      <c r="U68" s="42">
        <v>200</v>
      </c>
      <c r="AD68" s="44">
        <v>6</v>
      </c>
      <c r="AE68" s="39">
        <v>337.76902595054679</v>
      </c>
      <c r="AF68" s="39">
        <v>-33.589025950546841</v>
      </c>
      <c r="AG68" s="45">
        <v>-0.39027885542537072</v>
      </c>
    </row>
    <row r="69" spans="1:33" ht="15.75" customHeight="1" x14ac:dyDescent="0.3">
      <c r="A69" s="11" t="s">
        <v>132</v>
      </c>
      <c r="B69" s="12" t="s">
        <v>92</v>
      </c>
      <c r="C69" s="11" t="s">
        <v>24</v>
      </c>
      <c r="D69" s="11" t="s">
        <v>52</v>
      </c>
      <c r="E69" s="13">
        <v>1371.34</v>
      </c>
      <c r="F69" s="14">
        <v>5</v>
      </c>
      <c r="G69" s="15">
        <v>0.05</v>
      </c>
      <c r="H69" s="16">
        <v>45488</v>
      </c>
      <c r="I69" s="13">
        <v>455.97</v>
      </c>
      <c r="J69" s="17">
        <f t="shared" si="19"/>
        <v>4413.71</v>
      </c>
      <c r="K69" s="18" t="str">
        <f>IF(INDEX('Pivot Table'!$N$5:$N$34,MATCH(A69,'Pivot Table'!$I$5:$I$34,0))&lt;=10,"Top 10","")</f>
        <v/>
      </c>
      <c r="L69" s="17">
        <f t="shared" si="20"/>
        <v>1443.52</v>
      </c>
      <c r="M69" s="17">
        <f t="shared" si="21"/>
        <v>1299.17</v>
      </c>
      <c r="N69" s="17">
        <f t="shared" si="22"/>
        <v>383.8</v>
      </c>
      <c r="O69" s="19">
        <f t="shared" si="23"/>
        <v>0.33249959893243108</v>
      </c>
      <c r="P69" s="20">
        <f t="shared" si="24"/>
        <v>45474</v>
      </c>
      <c r="Q69" s="18" t="str">
        <f>IF(J69&gt;='Pivot Table'!$R$4,"High Value","Standard")</f>
        <v>Standard</v>
      </c>
      <c r="R69" s="21">
        <f t="shared" ca="1" si="25"/>
        <v>46304.639624537034</v>
      </c>
      <c r="T69" s="43" t="s">
        <v>133</v>
      </c>
      <c r="AD69" s="44">
        <v>7</v>
      </c>
      <c r="AE69" s="39">
        <v>461.23173963652857</v>
      </c>
      <c r="AF69" s="39">
        <v>-148.32173963652849</v>
      </c>
      <c r="AG69" s="45">
        <v>-1.723385455275513</v>
      </c>
    </row>
    <row r="70" spans="1:33" ht="15.75" customHeight="1" x14ac:dyDescent="0.3">
      <c r="A70" s="11" t="s">
        <v>94</v>
      </c>
      <c r="B70" s="12" t="s">
        <v>84</v>
      </c>
      <c r="C70" s="11" t="s">
        <v>47</v>
      </c>
      <c r="D70" s="11" t="s">
        <v>42</v>
      </c>
      <c r="E70" s="13">
        <v>1020.26</v>
      </c>
      <c r="F70" s="14">
        <v>11</v>
      </c>
      <c r="G70" s="15">
        <v>0.05</v>
      </c>
      <c r="H70" s="16">
        <v>45494</v>
      </c>
      <c r="I70" s="13">
        <v>242.31</v>
      </c>
      <c r="J70" s="17">
        <f t="shared" si="19"/>
        <v>8740.18</v>
      </c>
      <c r="K70" s="18" t="str">
        <f>IF(INDEX('Pivot Table'!$N$5:$N$34,MATCH(A70,'Pivot Table'!$I$5:$I$34,0))&lt;=10,"Top 10","")</f>
        <v>Top 10</v>
      </c>
      <c r="L70" s="17">
        <f t="shared" si="20"/>
        <v>1073.96</v>
      </c>
      <c r="M70" s="17">
        <f t="shared" si="21"/>
        <v>966.56</v>
      </c>
      <c r="N70" s="17">
        <f t="shared" si="22"/>
        <v>188.61</v>
      </c>
      <c r="O70" s="19">
        <f t="shared" si="23"/>
        <v>0.23749828475094584</v>
      </c>
      <c r="P70" s="20">
        <f t="shared" si="24"/>
        <v>45474</v>
      </c>
      <c r="Q70" s="18" t="str">
        <f>IF(J70&gt;='Pivot Table'!$R$4,"High Value","Standard")</f>
        <v>High Value</v>
      </c>
      <c r="R70" s="21">
        <f t="shared" ca="1" si="25"/>
        <v>46304.639624537034</v>
      </c>
      <c r="T70" s="6"/>
      <c r="U70" s="6" t="s">
        <v>134</v>
      </c>
      <c r="V70" s="6" t="s">
        <v>135</v>
      </c>
      <c r="W70" s="6" t="s">
        <v>136</v>
      </c>
      <c r="X70" s="6" t="s">
        <v>137</v>
      </c>
      <c r="Y70" s="6" t="s">
        <v>138</v>
      </c>
      <c r="AD70" s="44">
        <v>8</v>
      </c>
      <c r="AE70" s="39">
        <v>375.95268314582199</v>
      </c>
      <c r="AF70" s="39">
        <v>-75.102683145822027</v>
      </c>
      <c r="AG70" s="45">
        <v>-0.87263587996509029</v>
      </c>
    </row>
    <row r="71" spans="1:33" ht="15.75" customHeight="1" x14ac:dyDescent="0.3">
      <c r="A71" s="11" t="s">
        <v>81</v>
      </c>
      <c r="B71" s="12" t="s">
        <v>23</v>
      </c>
      <c r="C71" s="11" t="s">
        <v>63</v>
      </c>
      <c r="D71" s="11" t="s">
        <v>69</v>
      </c>
      <c r="E71" s="13">
        <v>804.81</v>
      </c>
      <c r="F71" s="14">
        <v>1</v>
      </c>
      <c r="G71" s="15">
        <v>0.05</v>
      </c>
      <c r="H71" s="16">
        <v>45502</v>
      </c>
      <c r="I71" s="13">
        <v>344.06</v>
      </c>
      <c r="J71" s="17">
        <f t="shared" si="19"/>
        <v>9760.7999999999993</v>
      </c>
      <c r="K71" s="18" t="str">
        <f>IF(INDEX('Pivot Table'!$N$5:$N$34,MATCH(A71,'Pivot Table'!$I$5:$I$34,0))&lt;=10,"Top 10","")</f>
        <v>Top 10</v>
      </c>
      <c r="L71" s="17">
        <f t="shared" si="20"/>
        <v>847.17</v>
      </c>
      <c r="M71" s="17">
        <f t="shared" si="21"/>
        <v>762.45</v>
      </c>
      <c r="N71" s="17">
        <f t="shared" si="22"/>
        <v>301.7</v>
      </c>
      <c r="O71" s="19">
        <f t="shared" si="23"/>
        <v>0.42750462842161507</v>
      </c>
      <c r="P71" s="20">
        <f t="shared" si="24"/>
        <v>45474</v>
      </c>
      <c r="Q71" s="18" t="str">
        <f>IF(J71&gt;='Pivot Table'!$R$4,"High Value","Standard")</f>
        <v>High Value</v>
      </c>
      <c r="R71" s="21">
        <f t="shared" ca="1" si="25"/>
        <v>46304.639624537034</v>
      </c>
      <c r="T71" s="22" t="s">
        <v>139</v>
      </c>
      <c r="U71" s="42">
        <v>1</v>
      </c>
      <c r="V71" s="39">
        <v>2194058.1833402859</v>
      </c>
      <c r="W71" s="39">
        <v>2194058.1833402859</v>
      </c>
      <c r="X71" s="45">
        <v>294.72398427548183</v>
      </c>
      <c r="Y71" s="46">
        <v>4.6269367558904453E-41</v>
      </c>
      <c r="AD71" s="44">
        <v>9</v>
      </c>
      <c r="AE71" s="39">
        <v>174.93676182919049</v>
      </c>
      <c r="AF71" s="39">
        <v>15.653238170809519</v>
      </c>
      <c r="AG71" s="45">
        <v>0.18187868519911041</v>
      </c>
    </row>
    <row r="72" spans="1:33" ht="15.75" customHeight="1" x14ac:dyDescent="0.3">
      <c r="A72" s="11" t="s">
        <v>45</v>
      </c>
      <c r="B72" s="12" t="s">
        <v>92</v>
      </c>
      <c r="C72" s="11" t="s">
        <v>63</v>
      </c>
      <c r="D72" s="11" t="s">
        <v>42</v>
      </c>
      <c r="E72" s="13">
        <v>608.66</v>
      </c>
      <c r="F72" s="14">
        <v>1</v>
      </c>
      <c r="G72" s="15">
        <v>0.05</v>
      </c>
      <c r="H72" s="16">
        <v>45503</v>
      </c>
      <c r="I72" s="13">
        <v>144.56</v>
      </c>
      <c r="J72" s="17">
        <f t="shared" si="19"/>
        <v>7928.71</v>
      </c>
      <c r="K72" s="18" t="str">
        <f>IF(INDEX('Pivot Table'!$N$5:$N$34,MATCH(A72,'Pivot Table'!$I$5:$I$34,0))&lt;=10,"Top 10","")</f>
        <v>Top 10</v>
      </c>
      <c r="L72" s="17">
        <f t="shared" si="20"/>
        <v>640.69000000000005</v>
      </c>
      <c r="M72" s="17">
        <f t="shared" si="21"/>
        <v>576.62</v>
      </c>
      <c r="N72" s="17">
        <f t="shared" si="22"/>
        <v>112.52</v>
      </c>
      <c r="O72" s="19">
        <f t="shared" si="23"/>
        <v>0.23750533959846221</v>
      </c>
      <c r="P72" s="20">
        <f t="shared" si="24"/>
        <v>45474</v>
      </c>
      <c r="Q72" s="18" t="str">
        <f>IF(J72&gt;='Pivot Table'!$R$4,"High Value","Standard")</f>
        <v>Standard</v>
      </c>
      <c r="R72" s="21">
        <f t="shared" ca="1" si="25"/>
        <v>46304.639624537034</v>
      </c>
      <c r="T72" s="22" t="s">
        <v>140</v>
      </c>
      <c r="U72" s="42">
        <v>198</v>
      </c>
      <c r="V72" s="39">
        <v>1474001.246859218</v>
      </c>
      <c r="W72" s="39">
        <v>7444.4507417132199</v>
      </c>
      <c r="X72" s="45"/>
      <c r="Y72" s="46"/>
      <c r="AD72" s="44">
        <v>10</v>
      </c>
      <c r="AE72" s="39">
        <v>257.65807816595452</v>
      </c>
      <c r="AF72" s="39">
        <v>92.561921834045506</v>
      </c>
      <c r="AG72" s="45">
        <v>1.0754989133221879</v>
      </c>
    </row>
    <row r="73" spans="1:33" ht="15.75" customHeight="1" x14ac:dyDescent="0.3">
      <c r="A73" s="11" t="s">
        <v>132</v>
      </c>
      <c r="B73" s="12" t="s">
        <v>141</v>
      </c>
      <c r="C73" s="11" t="s">
        <v>41</v>
      </c>
      <c r="D73" s="11" t="s">
        <v>69</v>
      </c>
      <c r="E73" s="13">
        <v>981.2</v>
      </c>
      <c r="F73" s="14">
        <v>19</v>
      </c>
      <c r="G73" s="15">
        <v>0</v>
      </c>
      <c r="H73" s="16">
        <v>45504</v>
      </c>
      <c r="I73" s="13">
        <v>441.54</v>
      </c>
      <c r="J73" s="17">
        <f t="shared" si="19"/>
        <v>4413.71</v>
      </c>
      <c r="K73" s="18" t="str">
        <f>IF(INDEX('Pivot Table'!$N$5:$N$34,MATCH(A73,'Pivot Table'!$I$5:$I$34,0))&lt;=10,"Top 10","")</f>
        <v/>
      </c>
      <c r="L73" s="17">
        <f t="shared" si="20"/>
        <v>981.2</v>
      </c>
      <c r="M73" s="17">
        <f t="shared" si="21"/>
        <v>883.08</v>
      </c>
      <c r="N73" s="17">
        <f t="shared" si="22"/>
        <v>343.42</v>
      </c>
      <c r="O73" s="19">
        <f t="shared" si="23"/>
        <v>0.45</v>
      </c>
      <c r="P73" s="20">
        <f t="shared" si="24"/>
        <v>45474</v>
      </c>
      <c r="Q73" s="18" t="str">
        <f>IF(J73&gt;='Pivot Table'!$R$4,"High Value","Standard")</f>
        <v>Standard</v>
      </c>
      <c r="R73" s="21">
        <f t="shared" ca="1" si="25"/>
        <v>46304.639624537034</v>
      </c>
      <c r="T73" s="22" t="s">
        <v>142</v>
      </c>
      <c r="U73" s="42">
        <v>199</v>
      </c>
      <c r="V73" s="39">
        <v>3668059.430199503</v>
      </c>
      <c r="W73" s="39"/>
      <c r="X73" s="45"/>
      <c r="Y73" s="46"/>
      <c r="AD73" s="44">
        <v>11</v>
      </c>
      <c r="AE73" s="39">
        <v>550.80176486286143</v>
      </c>
      <c r="AF73" s="39">
        <v>121.57823513713861</v>
      </c>
      <c r="AG73" s="45">
        <v>1.412646336449852</v>
      </c>
    </row>
    <row r="74" spans="1:33" ht="15.75" customHeight="1" x14ac:dyDescent="0.3">
      <c r="A74" s="11" t="s">
        <v>143</v>
      </c>
      <c r="B74" s="12" t="s">
        <v>92</v>
      </c>
      <c r="C74" s="11" t="s">
        <v>33</v>
      </c>
      <c r="D74" s="11" t="s">
        <v>42</v>
      </c>
      <c r="E74" s="13">
        <v>539.77</v>
      </c>
      <c r="F74" s="14">
        <v>10</v>
      </c>
      <c r="G74" s="15">
        <v>0.15</v>
      </c>
      <c r="H74" s="16">
        <v>45509</v>
      </c>
      <c r="I74" s="13">
        <v>114.7</v>
      </c>
      <c r="J74" s="17">
        <f t="shared" si="19"/>
        <v>7583.1299999999992</v>
      </c>
      <c r="K74" s="18" t="str">
        <f>IF(INDEX('Pivot Table'!$N$5:$N$34,MATCH(A74,'Pivot Table'!$I$5:$I$34,0))&lt;=10,"Top 10","")</f>
        <v/>
      </c>
      <c r="L74" s="17">
        <f t="shared" si="20"/>
        <v>635.02</v>
      </c>
      <c r="M74" s="17">
        <f t="shared" si="21"/>
        <v>571.52</v>
      </c>
      <c r="N74" s="17">
        <f t="shared" si="22"/>
        <v>146.44999999999999</v>
      </c>
      <c r="O74" s="19">
        <f t="shared" si="23"/>
        <v>0.21249791577894289</v>
      </c>
      <c r="P74" s="20">
        <f t="shared" si="24"/>
        <v>45505</v>
      </c>
      <c r="Q74" s="18" t="str">
        <f>IF(J74&gt;='Pivot Table'!$R$4,"High Value","Standard")</f>
        <v>Standard</v>
      </c>
      <c r="R74" s="21">
        <f t="shared" ca="1" si="25"/>
        <v>46304.639624537034</v>
      </c>
      <c r="AD74" s="44">
        <v>12</v>
      </c>
      <c r="AE74" s="39">
        <v>470.21365293432382</v>
      </c>
      <c r="AF74" s="39">
        <v>-13.55365293432374</v>
      </c>
      <c r="AG74" s="45">
        <v>-0.1574831065904865</v>
      </c>
    </row>
    <row r="75" spans="1:33" ht="15.75" customHeight="1" x14ac:dyDescent="0.3">
      <c r="A75" s="11" t="s">
        <v>26</v>
      </c>
      <c r="B75" s="12" t="s">
        <v>144</v>
      </c>
      <c r="C75" s="11" t="s">
        <v>41</v>
      </c>
      <c r="D75" s="11" t="s">
        <v>25</v>
      </c>
      <c r="E75" s="13">
        <v>804.45</v>
      </c>
      <c r="F75" s="14">
        <v>5</v>
      </c>
      <c r="G75" s="15">
        <v>0.2</v>
      </c>
      <c r="H75" s="16">
        <v>45509</v>
      </c>
      <c r="I75" s="13">
        <v>257.42</v>
      </c>
      <c r="J75" s="17">
        <f t="shared" si="19"/>
        <v>8339</v>
      </c>
      <c r="K75" s="18" t="str">
        <f>IF(INDEX('Pivot Table'!$N$5:$N$34,MATCH(A75,'Pivot Table'!$I$5:$I$34,0))&lt;=10,"Top 10","")</f>
        <v>Top 10</v>
      </c>
      <c r="L75" s="17">
        <f t="shared" si="20"/>
        <v>1005.56</v>
      </c>
      <c r="M75" s="17">
        <f t="shared" si="21"/>
        <v>905</v>
      </c>
      <c r="N75" s="17">
        <f t="shared" si="22"/>
        <v>357.97</v>
      </c>
      <c r="O75" s="19">
        <f t="shared" si="23"/>
        <v>0.31999502765864879</v>
      </c>
      <c r="P75" s="20">
        <f t="shared" si="24"/>
        <v>45505</v>
      </c>
      <c r="Q75" s="18" t="str">
        <f>IF(J75&gt;='Pivot Table'!$R$4,"High Value","Standard")</f>
        <v>High Value</v>
      </c>
      <c r="R75" s="21">
        <f t="shared" ca="1" si="25"/>
        <v>46304.639624537034</v>
      </c>
      <c r="T75" s="6"/>
      <c r="U75" s="6" t="s">
        <v>145</v>
      </c>
      <c r="V75" s="6" t="s">
        <v>101</v>
      </c>
      <c r="W75" s="6" t="s">
        <v>146</v>
      </c>
      <c r="X75" s="6" t="s">
        <v>147</v>
      </c>
      <c r="Y75" s="6" t="s">
        <v>148</v>
      </c>
      <c r="Z75" s="6" t="s">
        <v>149</v>
      </c>
      <c r="AA75" s="6" t="s">
        <v>150</v>
      </c>
      <c r="AB75" s="6" t="s">
        <v>151</v>
      </c>
      <c r="AD75" s="44">
        <v>13</v>
      </c>
      <c r="AE75" s="39">
        <v>417.04142792335279</v>
      </c>
      <c r="AF75" s="39">
        <v>35.75857207664717</v>
      </c>
      <c r="AG75" s="45">
        <v>0.41548732619596168</v>
      </c>
    </row>
    <row r="76" spans="1:33" ht="15.75" customHeight="1" x14ac:dyDescent="0.3">
      <c r="A76" s="11" t="s">
        <v>143</v>
      </c>
      <c r="B76" s="12" t="s">
        <v>68</v>
      </c>
      <c r="C76" s="11" t="s">
        <v>24</v>
      </c>
      <c r="D76" s="11" t="s">
        <v>42</v>
      </c>
      <c r="E76" s="13">
        <v>1526.6</v>
      </c>
      <c r="F76" s="14">
        <v>13</v>
      </c>
      <c r="G76" s="15">
        <v>0.2</v>
      </c>
      <c r="H76" s="16">
        <v>45512</v>
      </c>
      <c r="I76" s="13">
        <v>305.32</v>
      </c>
      <c r="J76" s="17">
        <f t="shared" si="19"/>
        <v>7583.1299999999992</v>
      </c>
      <c r="K76" s="18" t="str">
        <f>IF(INDEX('Pivot Table'!$N$5:$N$34,MATCH(A76,'Pivot Table'!$I$5:$I$34,0))&lt;=10,"Top 10","")</f>
        <v/>
      </c>
      <c r="L76" s="17">
        <f t="shared" si="20"/>
        <v>1908.25</v>
      </c>
      <c r="M76" s="17">
        <f t="shared" si="21"/>
        <v>1717.43</v>
      </c>
      <c r="N76" s="17">
        <f t="shared" si="22"/>
        <v>496.15</v>
      </c>
      <c r="O76" s="19">
        <f t="shared" si="23"/>
        <v>0.2</v>
      </c>
      <c r="P76" s="20">
        <f t="shared" si="24"/>
        <v>45505</v>
      </c>
      <c r="Q76" s="18" t="str">
        <f>IF(J76&gt;='Pivot Table'!$R$4,"High Value","Standard")</f>
        <v>Standard</v>
      </c>
      <c r="R76" s="21">
        <f t="shared" ca="1" si="25"/>
        <v>46304.639624537034</v>
      </c>
      <c r="T76" s="22" t="s">
        <v>152</v>
      </c>
      <c r="U76" s="40">
        <v>-1.0315504901913071</v>
      </c>
      <c r="V76" s="40">
        <v>20.860617005445491</v>
      </c>
      <c r="W76" s="45">
        <v>-4.9449663445814161E-2</v>
      </c>
      <c r="X76" s="46">
        <v>0.96061079696906815</v>
      </c>
      <c r="Y76" s="40">
        <v>-42.169051823379263</v>
      </c>
      <c r="Z76" s="40">
        <v>40.105950842996648</v>
      </c>
      <c r="AA76" s="40">
        <v>-42.169051823379263</v>
      </c>
      <c r="AB76" s="40">
        <v>40.105950842996648</v>
      </c>
      <c r="AD76" s="44">
        <v>14</v>
      </c>
      <c r="AE76" s="39">
        <v>287.47031148289409</v>
      </c>
      <c r="AF76" s="39">
        <v>-14.060311482894059</v>
      </c>
      <c r="AG76" s="45">
        <v>-0.16337009237919731</v>
      </c>
    </row>
    <row r="77" spans="1:33" ht="15.75" customHeight="1" x14ac:dyDescent="0.3">
      <c r="A77" s="11" t="s">
        <v>26</v>
      </c>
      <c r="B77" s="12" t="s">
        <v>56</v>
      </c>
      <c r="C77" s="11" t="s">
        <v>24</v>
      </c>
      <c r="D77" s="11" t="s">
        <v>42</v>
      </c>
      <c r="E77" s="13">
        <v>1215.26</v>
      </c>
      <c r="F77" s="14">
        <v>5</v>
      </c>
      <c r="G77" s="15">
        <v>0.15</v>
      </c>
      <c r="H77" s="16">
        <v>45513</v>
      </c>
      <c r="I77" s="13">
        <v>258.24</v>
      </c>
      <c r="J77" s="17">
        <f t="shared" si="19"/>
        <v>8339</v>
      </c>
      <c r="K77" s="18" t="str">
        <f>IF(INDEX('Pivot Table'!$N$5:$N$34,MATCH(A77,'Pivot Table'!$I$5:$I$34,0))&lt;=10,"Top 10","")</f>
        <v>Top 10</v>
      </c>
      <c r="L77" s="17">
        <f t="shared" si="20"/>
        <v>1429.72</v>
      </c>
      <c r="M77" s="17">
        <f t="shared" si="21"/>
        <v>1286.75</v>
      </c>
      <c r="N77" s="17">
        <f t="shared" si="22"/>
        <v>329.73</v>
      </c>
      <c r="O77" s="19">
        <f t="shared" si="23"/>
        <v>0.21249773710975431</v>
      </c>
      <c r="P77" s="20">
        <f t="shared" si="24"/>
        <v>45505</v>
      </c>
      <c r="Q77" s="18" t="str">
        <f>IF(J77&gt;='Pivot Table'!$R$4,"High Value","Standard")</f>
        <v>High Value</v>
      </c>
      <c r="R77" s="21">
        <f t="shared" ca="1" si="25"/>
        <v>46304.639624537034</v>
      </c>
      <c r="T77" s="22" t="s">
        <v>6</v>
      </c>
      <c r="U77" s="40">
        <v>0.35085598819512259</v>
      </c>
      <c r="V77" s="40">
        <v>2.0437188630135598E-2</v>
      </c>
      <c r="W77" s="45">
        <v>17.167527028535069</v>
      </c>
      <c r="X77" s="46">
        <v>4.6269367558900017E-41</v>
      </c>
      <c r="Y77" s="40">
        <v>0.31055349501865759</v>
      </c>
      <c r="Z77" s="40">
        <v>0.3911584813715876</v>
      </c>
      <c r="AA77" s="40">
        <v>0.31055349501865759</v>
      </c>
      <c r="AB77" s="40">
        <v>0.3911584813715876</v>
      </c>
      <c r="AD77" s="44">
        <v>15</v>
      </c>
      <c r="AE77" s="39">
        <v>181.99949287155829</v>
      </c>
      <c r="AF77" s="39">
        <v>-26.7994928715583</v>
      </c>
      <c r="AG77" s="45">
        <v>-0.31138966099497373</v>
      </c>
    </row>
    <row r="78" spans="1:33" ht="15.75" customHeight="1" x14ac:dyDescent="0.3">
      <c r="A78" s="11" t="s">
        <v>40</v>
      </c>
      <c r="B78" s="12" t="s">
        <v>90</v>
      </c>
      <c r="C78" s="11" t="s">
        <v>63</v>
      </c>
      <c r="D78" s="11" t="s">
        <v>52</v>
      </c>
      <c r="E78" s="13">
        <v>1261.3399999999999</v>
      </c>
      <c r="F78" s="14">
        <v>3</v>
      </c>
      <c r="G78" s="15">
        <v>0</v>
      </c>
      <c r="H78" s="16">
        <v>45519</v>
      </c>
      <c r="I78" s="13">
        <v>441.47</v>
      </c>
      <c r="J78" s="17">
        <f t="shared" si="19"/>
        <v>6666.130000000001</v>
      </c>
      <c r="K78" s="18" t="str">
        <f>IF(INDEX('Pivot Table'!$N$5:$N$34,MATCH(A78,'Pivot Table'!$I$5:$I$34,0))&lt;=10,"Top 10","")</f>
        <v/>
      </c>
      <c r="L78" s="17">
        <f t="shared" si="20"/>
        <v>1261.3399999999999</v>
      </c>
      <c r="M78" s="17">
        <f t="shared" si="21"/>
        <v>1135.21</v>
      </c>
      <c r="N78" s="17">
        <f t="shared" si="22"/>
        <v>315.33999999999997</v>
      </c>
      <c r="O78" s="19">
        <f t="shared" si="23"/>
        <v>0.35000079280764906</v>
      </c>
      <c r="P78" s="20">
        <f t="shared" si="24"/>
        <v>45505</v>
      </c>
      <c r="Q78" s="18" t="str">
        <f>IF(J78&gt;='Pivot Table'!$R$4,"High Value","Standard")</f>
        <v>Standard</v>
      </c>
      <c r="R78" s="21">
        <f t="shared" ca="1" si="25"/>
        <v>46304.639624537034</v>
      </c>
      <c r="AD78" s="44">
        <v>16</v>
      </c>
      <c r="AE78" s="39">
        <v>526.28043984790429</v>
      </c>
      <c r="AF78" s="39">
        <v>-225.69043984790429</v>
      </c>
      <c r="AG78" s="45">
        <v>-2.622350724726942</v>
      </c>
    </row>
    <row r="79" spans="1:33" ht="15.75" customHeight="1" x14ac:dyDescent="0.3">
      <c r="A79" s="11" t="s">
        <v>153</v>
      </c>
      <c r="B79" s="12" t="s">
        <v>82</v>
      </c>
      <c r="C79" s="11" t="s">
        <v>47</v>
      </c>
      <c r="D79" s="11" t="s">
        <v>52</v>
      </c>
      <c r="E79" s="13">
        <v>518.07000000000005</v>
      </c>
      <c r="F79" s="14">
        <v>7</v>
      </c>
      <c r="G79" s="15">
        <v>0.05</v>
      </c>
      <c r="H79" s="16">
        <v>45522</v>
      </c>
      <c r="I79" s="13">
        <v>172.26</v>
      </c>
      <c r="J79" s="17">
        <f t="shared" si="19"/>
        <v>7813.59</v>
      </c>
      <c r="K79" s="18" t="str">
        <f>IF(INDEX('Pivot Table'!$N$5:$N$34,MATCH(A79,'Pivot Table'!$I$5:$I$34,0))&lt;=10,"Top 10","")</f>
        <v>Top 10</v>
      </c>
      <c r="L79" s="17">
        <f t="shared" si="20"/>
        <v>545.34</v>
      </c>
      <c r="M79" s="17">
        <f t="shared" si="21"/>
        <v>490.81</v>
      </c>
      <c r="N79" s="17">
        <f t="shared" si="22"/>
        <v>145</v>
      </c>
      <c r="O79" s="19">
        <f t="shared" si="23"/>
        <v>0.3325033296658752</v>
      </c>
      <c r="P79" s="20">
        <f t="shared" si="24"/>
        <v>45505</v>
      </c>
      <c r="Q79" s="18" t="str">
        <f>IF(J79&gt;='Pivot Table'!$R$4,"High Value","Standard")</f>
        <v>Standard</v>
      </c>
      <c r="R79" s="21">
        <f t="shared" ca="1" si="25"/>
        <v>46304.639624537034</v>
      </c>
      <c r="AD79" s="44">
        <v>17</v>
      </c>
      <c r="AE79" s="39">
        <v>306.87264763008437</v>
      </c>
      <c r="AF79" s="39">
        <v>-8.4926476300843774</v>
      </c>
      <c r="AG79" s="45">
        <v>-9.8678086154694117E-2</v>
      </c>
    </row>
    <row r="80" spans="1:33" ht="15.75" customHeight="1" x14ac:dyDescent="0.3">
      <c r="A80" s="11" t="s">
        <v>58</v>
      </c>
      <c r="B80" s="12" t="s">
        <v>56</v>
      </c>
      <c r="C80" s="11" t="s">
        <v>24</v>
      </c>
      <c r="D80" s="11" t="s">
        <v>69</v>
      </c>
      <c r="E80" s="13">
        <v>1111.3399999999999</v>
      </c>
      <c r="F80" s="14">
        <v>1</v>
      </c>
      <c r="G80" s="15">
        <v>0</v>
      </c>
      <c r="H80" s="16">
        <v>45523</v>
      </c>
      <c r="I80" s="13">
        <v>500.1</v>
      </c>
      <c r="J80" s="17">
        <f t="shared" si="19"/>
        <v>9371.81</v>
      </c>
      <c r="K80" s="18" t="str">
        <f>IF(INDEX('Pivot Table'!$N$5:$N$34,MATCH(A80,'Pivot Table'!$I$5:$I$34,0))&lt;=10,"Top 10","")</f>
        <v>Top 10</v>
      </c>
      <c r="L80" s="17">
        <f t="shared" si="20"/>
        <v>1111.3399999999999</v>
      </c>
      <c r="M80" s="17">
        <f t="shared" si="21"/>
        <v>1000.21</v>
      </c>
      <c r="N80" s="17">
        <f t="shared" si="22"/>
        <v>388.97</v>
      </c>
      <c r="O80" s="19">
        <f t="shared" si="23"/>
        <v>0.4499973005560855</v>
      </c>
      <c r="P80" s="20">
        <f t="shared" si="24"/>
        <v>45505</v>
      </c>
      <c r="Q80" s="18" t="str">
        <f>IF(J80&gt;='Pivot Table'!$R$4,"High Value","Standard")</f>
        <v>High Value</v>
      </c>
      <c r="R80" s="21">
        <f t="shared" ca="1" si="25"/>
        <v>46304.639624537034</v>
      </c>
      <c r="T80" s="7" t="s">
        <v>154</v>
      </c>
      <c r="U80" s="10"/>
      <c r="AD80" s="44">
        <v>18</v>
      </c>
      <c r="AE80" s="39">
        <v>222.35845719364329</v>
      </c>
      <c r="AF80" s="39">
        <v>-18.618457193643248</v>
      </c>
      <c r="AG80" s="45">
        <v>-0.21633226798596841</v>
      </c>
    </row>
    <row r="81" spans="1:33" ht="15.75" customHeight="1" x14ac:dyDescent="0.3">
      <c r="A81" s="11" t="s">
        <v>45</v>
      </c>
      <c r="B81" s="12" t="s">
        <v>59</v>
      </c>
      <c r="C81" s="11" t="s">
        <v>33</v>
      </c>
      <c r="D81" s="11" t="s">
        <v>28</v>
      </c>
      <c r="E81" s="13">
        <v>1291.47</v>
      </c>
      <c r="F81" s="14">
        <v>18</v>
      </c>
      <c r="G81" s="15">
        <v>0.1</v>
      </c>
      <c r="H81" s="16">
        <v>45526</v>
      </c>
      <c r="I81" s="13">
        <v>581.16</v>
      </c>
      <c r="J81" s="17">
        <f t="shared" si="19"/>
        <v>7928.71</v>
      </c>
      <c r="K81" s="18" t="str">
        <f>IF(INDEX('Pivot Table'!$N$5:$N$34,MATCH(A81,'Pivot Table'!$I$5:$I$34,0))&lt;=10,"Top 10","")</f>
        <v>Top 10</v>
      </c>
      <c r="L81" s="17">
        <f t="shared" si="20"/>
        <v>1434.97</v>
      </c>
      <c r="M81" s="17">
        <f t="shared" si="21"/>
        <v>1291.47</v>
      </c>
      <c r="N81" s="17">
        <f t="shared" si="22"/>
        <v>581.16</v>
      </c>
      <c r="O81" s="19">
        <f t="shared" si="23"/>
        <v>0.44999883853283462</v>
      </c>
      <c r="P81" s="20">
        <f t="shared" si="24"/>
        <v>45505</v>
      </c>
      <c r="Q81" s="18" t="str">
        <f>IF(J81&gt;='Pivot Table'!$R$4,"High Value","Standard")</f>
        <v>Standard</v>
      </c>
      <c r="R81" s="21">
        <f t="shared" ca="1" si="25"/>
        <v>46304.639624537034</v>
      </c>
      <c r="T81" s="22" t="s">
        <v>155</v>
      </c>
      <c r="U81" s="33">
        <v>1000</v>
      </c>
      <c r="AD81" s="44">
        <v>19</v>
      </c>
      <c r="AE81" s="39">
        <v>527.40668757001072</v>
      </c>
      <c r="AF81" s="39">
        <v>-45.446687570010738</v>
      </c>
      <c r="AG81" s="45">
        <v>-0.52805583686208224</v>
      </c>
    </row>
    <row r="82" spans="1:33" ht="15.75" customHeight="1" x14ac:dyDescent="0.3">
      <c r="A82" s="11" t="s">
        <v>50</v>
      </c>
      <c r="B82" s="12" t="s">
        <v>92</v>
      </c>
      <c r="C82" s="11" t="s">
        <v>47</v>
      </c>
      <c r="D82" s="11" t="s">
        <v>25</v>
      </c>
      <c r="E82" s="13">
        <v>679.71</v>
      </c>
      <c r="F82" s="14">
        <v>19</v>
      </c>
      <c r="G82" s="15">
        <v>0</v>
      </c>
      <c r="H82" s="16">
        <v>45534</v>
      </c>
      <c r="I82" s="13">
        <v>271.88</v>
      </c>
      <c r="J82" s="17">
        <f t="shared" si="19"/>
        <v>9941.8799999999992</v>
      </c>
      <c r="K82" s="18" t="str">
        <f>IF(INDEX('Pivot Table'!$N$5:$N$34,MATCH(A82,'Pivot Table'!$I$5:$I$34,0))&lt;=10,"Top 10","")</f>
        <v>Top 10</v>
      </c>
      <c r="L82" s="17">
        <f t="shared" si="20"/>
        <v>679.71</v>
      </c>
      <c r="M82" s="17">
        <f t="shared" si="21"/>
        <v>611.74</v>
      </c>
      <c r="N82" s="17">
        <f t="shared" si="22"/>
        <v>203.91</v>
      </c>
      <c r="O82" s="19">
        <f t="shared" si="23"/>
        <v>0.39999411513733796</v>
      </c>
      <c r="P82" s="20">
        <f t="shared" si="24"/>
        <v>45505</v>
      </c>
      <c r="Q82" s="18" t="str">
        <f>IF(J82&gt;='Pivot Table'!$R$4,"High Value","Standard")</f>
        <v>High Value</v>
      </c>
      <c r="R82" s="21">
        <f t="shared" ca="1" si="25"/>
        <v>46304.639624537034</v>
      </c>
      <c r="T82" s="22" t="s">
        <v>156</v>
      </c>
      <c r="U82" s="47">
        <f>U76+U77*U81</f>
        <v>349.82443770493131</v>
      </c>
      <c r="AD82" s="44">
        <v>20</v>
      </c>
      <c r="AE82" s="39">
        <v>225.27757901542671</v>
      </c>
      <c r="AF82" s="39">
        <v>-64.017579015426662</v>
      </c>
      <c r="AG82" s="45">
        <v>-0.74383542714304829</v>
      </c>
    </row>
    <row r="83" spans="1:33" ht="15.75" customHeight="1" x14ac:dyDescent="0.3">
      <c r="A83" s="11" t="s">
        <v>132</v>
      </c>
      <c r="B83" s="12" t="s">
        <v>62</v>
      </c>
      <c r="C83" s="11" t="s">
        <v>33</v>
      </c>
      <c r="D83" s="11" t="s">
        <v>52</v>
      </c>
      <c r="E83" s="13">
        <v>1143.69</v>
      </c>
      <c r="F83" s="14">
        <v>17</v>
      </c>
      <c r="G83" s="15">
        <v>0</v>
      </c>
      <c r="H83" s="16">
        <v>45534</v>
      </c>
      <c r="I83" s="13">
        <v>400.29</v>
      </c>
      <c r="J83" s="17">
        <f t="shared" si="19"/>
        <v>4413.71</v>
      </c>
      <c r="K83" s="18" t="str">
        <f>IF(INDEX('Pivot Table'!$N$5:$N$34,MATCH(A83,'Pivot Table'!$I$5:$I$34,0))&lt;=10,"Top 10","")</f>
        <v/>
      </c>
      <c r="L83" s="17">
        <f t="shared" si="20"/>
        <v>1143.69</v>
      </c>
      <c r="M83" s="17">
        <f t="shared" si="21"/>
        <v>1029.32</v>
      </c>
      <c r="N83" s="17">
        <f t="shared" si="22"/>
        <v>285.92</v>
      </c>
      <c r="O83" s="19">
        <f t="shared" si="23"/>
        <v>0.34999868845578785</v>
      </c>
      <c r="P83" s="20">
        <f t="shared" si="24"/>
        <v>45505</v>
      </c>
      <c r="Q83" s="18" t="str">
        <f>IF(J83&gt;='Pivot Table'!$R$4,"High Value","Standard")</f>
        <v>Standard</v>
      </c>
      <c r="R83" s="21">
        <f t="shared" ca="1" si="25"/>
        <v>46304.639624537034</v>
      </c>
      <c r="AD83" s="44">
        <v>21</v>
      </c>
      <c r="AE83" s="39">
        <v>333.43946305621898</v>
      </c>
      <c r="AF83" s="39">
        <v>143.21053694378091</v>
      </c>
      <c r="AG83" s="45">
        <v>1.6639971794824151</v>
      </c>
    </row>
    <row r="84" spans="1:33" ht="15.75" customHeight="1" x14ac:dyDescent="0.3">
      <c r="A84" s="11" t="s">
        <v>89</v>
      </c>
      <c r="B84" s="12" t="s">
        <v>87</v>
      </c>
      <c r="C84" s="11" t="s">
        <v>63</v>
      </c>
      <c r="D84" s="11" t="s">
        <v>42</v>
      </c>
      <c r="E84" s="13">
        <v>790.08</v>
      </c>
      <c r="F84" s="14">
        <v>7</v>
      </c>
      <c r="G84" s="15">
        <v>0.1</v>
      </c>
      <c r="H84" s="16">
        <v>45536</v>
      </c>
      <c r="I84" s="13">
        <v>177.77</v>
      </c>
      <c r="J84" s="17">
        <f t="shared" si="19"/>
        <v>10293.870000000001</v>
      </c>
      <c r="K84" s="18" t="str">
        <f>IF(INDEX('Pivot Table'!$N$5:$N$34,MATCH(A84,'Pivot Table'!$I$5:$I$34,0))&lt;=10,"Top 10","")</f>
        <v>Top 10</v>
      </c>
      <c r="L84" s="17">
        <f t="shared" si="20"/>
        <v>877.87</v>
      </c>
      <c r="M84" s="17">
        <f t="shared" si="21"/>
        <v>790.08</v>
      </c>
      <c r="N84" s="17">
        <f t="shared" si="22"/>
        <v>177.77</v>
      </c>
      <c r="O84" s="19">
        <f t="shared" si="23"/>
        <v>0.22500253138922641</v>
      </c>
      <c r="P84" s="20">
        <f t="shared" si="24"/>
        <v>45536</v>
      </c>
      <c r="Q84" s="18" t="str">
        <f>IF(J84&gt;='Pivot Table'!$R$4,"High Value","Standard")</f>
        <v>High Value</v>
      </c>
      <c r="R84" s="21">
        <f t="shared" ca="1" si="25"/>
        <v>46304.639624537034</v>
      </c>
      <c r="AD84" s="44">
        <v>22</v>
      </c>
      <c r="AE84" s="39">
        <v>135.2970522829055</v>
      </c>
      <c r="AF84" s="39">
        <v>-52.727052282905532</v>
      </c>
      <c r="AG84" s="45">
        <v>-0.61264812040764249</v>
      </c>
    </row>
    <row r="85" spans="1:33" ht="15.75" customHeight="1" x14ac:dyDescent="0.3">
      <c r="A85" s="11" t="s">
        <v>40</v>
      </c>
      <c r="B85" s="12" t="s">
        <v>85</v>
      </c>
      <c r="C85" s="11" t="s">
        <v>63</v>
      </c>
      <c r="D85" s="11" t="s">
        <v>25</v>
      </c>
      <c r="E85" s="13">
        <v>1070.68</v>
      </c>
      <c r="F85" s="14">
        <v>7</v>
      </c>
      <c r="G85" s="15">
        <v>0.05</v>
      </c>
      <c r="H85" s="16">
        <v>45536</v>
      </c>
      <c r="I85" s="13">
        <v>406.86</v>
      </c>
      <c r="J85" s="17">
        <f t="shared" si="19"/>
        <v>6666.130000000001</v>
      </c>
      <c r="K85" s="18" t="str">
        <f>IF(INDEX('Pivot Table'!$N$5:$N$34,MATCH(A85,'Pivot Table'!$I$5:$I$34,0))&lt;=10,"Top 10","")</f>
        <v/>
      </c>
      <c r="L85" s="17">
        <f t="shared" si="20"/>
        <v>1127.03</v>
      </c>
      <c r="M85" s="17">
        <f t="shared" si="21"/>
        <v>1014.33</v>
      </c>
      <c r="N85" s="17">
        <f t="shared" si="22"/>
        <v>350.51</v>
      </c>
      <c r="O85" s="19">
        <f t="shared" si="23"/>
        <v>0.38000149437740499</v>
      </c>
      <c r="P85" s="20">
        <f t="shared" si="24"/>
        <v>45536</v>
      </c>
      <c r="Q85" s="18" t="str">
        <f>IF(J85&gt;='Pivot Table'!$R$4,"High Value","Standard")</f>
        <v>Standard</v>
      </c>
      <c r="R85" s="21">
        <f t="shared" ca="1" si="25"/>
        <v>46304.639624537034</v>
      </c>
      <c r="T85" s="7" t="s">
        <v>157</v>
      </c>
      <c r="U85" s="35"/>
      <c r="V85" s="10"/>
      <c r="AD85" s="44">
        <v>23</v>
      </c>
      <c r="AE85" s="39">
        <v>259.71409425677791</v>
      </c>
      <c r="AF85" s="39">
        <v>37.55590574322207</v>
      </c>
      <c r="AG85" s="45">
        <v>0.43637097215941112</v>
      </c>
    </row>
    <row r="86" spans="1:33" ht="15.75" customHeight="1" x14ac:dyDescent="0.3">
      <c r="A86" s="11" t="s">
        <v>95</v>
      </c>
      <c r="B86" s="12" t="s">
        <v>65</v>
      </c>
      <c r="C86" s="11" t="s">
        <v>24</v>
      </c>
      <c r="D86" s="11" t="s">
        <v>28</v>
      </c>
      <c r="E86" s="13">
        <v>1168.8900000000001</v>
      </c>
      <c r="F86" s="14">
        <v>4</v>
      </c>
      <c r="G86" s="15">
        <v>0.1</v>
      </c>
      <c r="H86" s="16">
        <v>45544</v>
      </c>
      <c r="I86" s="13">
        <v>526</v>
      </c>
      <c r="J86" s="17">
        <f t="shared" si="19"/>
        <v>11611.060000000001</v>
      </c>
      <c r="K86" s="18" t="str">
        <f>IF(INDEX('Pivot Table'!$N$5:$N$34,MATCH(A86,'Pivot Table'!$I$5:$I$34,0))&lt;=10,"Top 10","")</f>
        <v>Top 10</v>
      </c>
      <c r="L86" s="17">
        <f t="shared" si="20"/>
        <v>1298.77</v>
      </c>
      <c r="M86" s="17">
        <f t="shared" si="21"/>
        <v>1168.8900000000001</v>
      </c>
      <c r="N86" s="17">
        <f t="shared" si="22"/>
        <v>526</v>
      </c>
      <c r="O86" s="19">
        <f t="shared" si="23"/>
        <v>0.44999957224375259</v>
      </c>
      <c r="P86" s="20">
        <f t="shared" si="24"/>
        <v>45536</v>
      </c>
      <c r="Q86" s="18" t="str">
        <f>IF(J86&gt;='Pivot Table'!$R$4,"High Value","Standard")</f>
        <v>High Value</v>
      </c>
      <c r="R86" s="21">
        <f t="shared" ca="1" si="25"/>
        <v>46304.639624537034</v>
      </c>
      <c r="T86" s="6" t="s">
        <v>158</v>
      </c>
      <c r="U86" s="6" t="s">
        <v>159</v>
      </c>
      <c r="V86" s="6" t="s">
        <v>160</v>
      </c>
      <c r="AD86" s="44">
        <v>24</v>
      </c>
      <c r="AE86" s="39">
        <v>246.8025938911974</v>
      </c>
      <c r="AF86" s="39">
        <v>-70.212593891197429</v>
      </c>
      <c r="AG86" s="45">
        <v>-0.81581677362861371</v>
      </c>
    </row>
    <row r="87" spans="1:33" ht="15.75" customHeight="1" x14ac:dyDescent="0.3">
      <c r="A87" s="11" t="s">
        <v>119</v>
      </c>
      <c r="B87" s="12" t="s">
        <v>23</v>
      </c>
      <c r="C87" s="11" t="s">
        <v>41</v>
      </c>
      <c r="D87" s="11" t="s">
        <v>42</v>
      </c>
      <c r="E87" s="13">
        <v>1335.87</v>
      </c>
      <c r="F87" s="14">
        <v>17</v>
      </c>
      <c r="G87" s="15">
        <v>0</v>
      </c>
      <c r="H87" s="16">
        <v>45544</v>
      </c>
      <c r="I87" s="13">
        <v>333.97</v>
      </c>
      <c r="J87" s="17">
        <f t="shared" si="19"/>
        <v>8490.18</v>
      </c>
      <c r="K87" s="18" t="str">
        <f>IF(INDEX('Pivot Table'!$N$5:$N$34,MATCH(A87,'Pivot Table'!$I$5:$I$34,0))&lt;=10,"Top 10","")</f>
        <v>Top 10</v>
      </c>
      <c r="L87" s="17">
        <f t="shared" si="20"/>
        <v>1335.87</v>
      </c>
      <c r="M87" s="17">
        <f t="shared" si="21"/>
        <v>1202.28</v>
      </c>
      <c r="N87" s="17">
        <f t="shared" si="22"/>
        <v>200.38</v>
      </c>
      <c r="O87" s="19">
        <f t="shared" si="23"/>
        <v>0.25000187143958624</v>
      </c>
      <c r="P87" s="20">
        <f t="shared" si="24"/>
        <v>45536</v>
      </c>
      <c r="Q87" s="18" t="str">
        <f>IF(J87&gt;='Pivot Table'!$R$4,"High Value","Standard")</f>
        <v>High Value</v>
      </c>
      <c r="R87" s="21">
        <f t="shared" ca="1" si="25"/>
        <v>46304.639624537034</v>
      </c>
      <c r="T87" s="48">
        <v>400</v>
      </c>
      <c r="U87" s="44">
        <v>6</v>
      </c>
      <c r="V87" s="49">
        <v>0.03</v>
      </c>
      <c r="AD87" s="44">
        <v>25</v>
      </c>
      <c r="AE87" s="39">
        <v>323.61900394663758</v>
      </c>
      <c r="AF87" s="39">
        <v>51.130996053362423</v>
      </c>
      <c r="AG87" s="45">
        <v>0.59410316470164126</v>
      </c>
    </row>
    <row r="88" spans="1:33" ht="15.75" customHeight="1" x14ac:dyDescent="0.3">
      <c r="A88" s="11" t="s">
        <v>72</v>
      </c>
      <c r="B88" s="12" t="s">
        <v>92</v>
      </c>
      <c r="C88" s="11" t="s">
        <v>33</v>
      </c>
      <c r="D88" s="11" t="s">
        <v>52</v>
      </c>
      <c r="E88" s="13">
        <v>873.7</v>
      </c>
      <c r="F88" s="14">
        <v>9</v>
      </c>
      <c r="G88" s="15">
        <v>0</v>
      </c>
      <c r="H88" s="16">
        <v>45546</v>
      </c>
      <c r="I88" s="13">
        <v>305.8</v>
      </c>
      <c r="J88" s="17">
        <f t="shared" si="19"/>
        <v>5913.68</v>
      </c>
      <c r="K88" s="18" t="str">
        <f>IF(INDEX('Pivot Table'!$N$5:$N$34,MATCH(A88,'Pivot Table'!$I$5:$I$34,0))&lt;=10,"Top 10","")</f>
        <v/>
      </c>
      <c r="L88" s="17">
        <f t="shared" si="20"/>
        <v>873.7</v>
      </c>
      <c r="M88" s="17">
        <f t="shared" si="21"/>
        <v>786.33</v>
      </c>
      <c r="N88" s="17">
        <f t="shared" si="22"/>
        <v>218.43</v>
      </c>
      <c r="O88" s="19">
        <f t="shared" si="23"/>
        <v>0.3500057227881424</v>
      </c>
      <c r="P88" s="20">
        <f t="shared" si="24"/>
        <v>45536</v>
      </c>
      <c r="Q88" s="18" t="str">
        <f>IF(J88&gt;='Pivot Table'!$R$4,"High Value","Standard")</f>
        <v>Standard</v>
      </c>
      <c r="R88" s="21">
        <f t="shared" ca="1" si="25"/>
        <v>46304.639624537034</v>
      </c>
      <c r="T88" s="48">
        <v>600</v>
      </c>
      <c r="U88" s="44">
        <v>16</v>
      </c>
      <c r="V88" s="49">
        <v>0.11</v>
      </c>
      <c r="AD88" s="44">
        <v>26</v>
      </c>
      <c r="AE88" s="39">
        <v>410.5646263812709</v>
      </c>
      <c r="AF88" s="39">
        <v>-117.2846263812709</v>
      </c>
      <c r="AG88" s="45">
        <v>-1.3627578784352761</v>
      </c>
    </row>
    <row r="89" spans="1:33" ht="15.75" customHeight="1" x14ac:dyDescent="0.3">
      <c r="A89" s="11" t="s">
        <v>153</v>
      </c>
      <c r="B89" s="12" t="s">
        <v>112</v>
      </c>
      <c r="C89" s="11" t="s">
        <v>24</v>
      </c>
      <c r="D89" s="11" t="s">
        <v>69</v>
      </c>
      <c r="E89" s="13">
        <v>1443.98</v>
      </c>
      <c r="F89" s="14">
        <v>19</v>
      </c>
      <c r="G89" s="15">
        <v>0</v>
      </c>
      <c r="H89" s="16">
        <v>45547</v>
      </c>
      <c r="I89" s="13">
        <v>649.79</v>
      </c>
      <c r="J89" s="17">
        <f t="shared" si="19"/>
        <v>7813.59</v>
      </c>
      <c r="K89" s="18" t="str">
        <f>IF(INDEX('Pivot Table'!$N$5:$N$34,MATCH(A89,'Pivot Table'!$I$5:$I$34,0))&lt;=10,"Top 10","")</f>
        <v>Top 10</v>
      </c>
      <c r="L89" s="17">
        <f t="shared" si="20"/>
        <v>1443.98</v>
      </c>
      <c r="M89" s="17">
        <f t="shared" si="21"/>
        <v>1299.58</v>
      </c>
      <c r="N89" s="17">
        <f t="shared" si="22"/>
        <v>505.39</v>
      </c>
      <c r="O89" s="19">
        <f t="shared" si="23"/>
        <v>0.44999930746963251</v>
      </c>
      <c r="P89" s="20">
        <f t="shared" si="24"/>
        <v>45536</v>
      </c>
      <c r="Q89" s="18" t="str">
        <f>IF(J89&gt;='Pivot Table'!$R$4,"High Value","Standard")</f>
        <v>Standard</v>
      </c>
      <c r="R89" s="21">
        <f t="shared" ca="1" si="25"/>
        <v>46304.639624537034</v>
      </c>
      <c r="T89" s="48">
        <v>800</v>
      </c>
      <c r="U89" s="44">
        <v>33</v>
      </c>
      <c r="V89" s="49">
        <v>0.27500000000000002</v>
      </c>
      <c r="AD89" s="44">
        <v>27</v>
      </c>
      <c r="AE89" s="39">
        <v>235.98570377514179</v>
      </c>
      <c r="AF89" s="39">
        <v>0.45429622485821142</v>
      </c>
      <c r="AG89" s="45">
        <v>5.2785755360328637E-3</v>
      </c>
    </row>
    <row r="90" spans="1:33" ht="15.75" customHeight="1" x14ac:dyDescent="0.3">
      <c r="A90" s="11" t="s">
        <v>72</v>
      </c>
      <c r="B90" s="12" t="s">
        <v>46</v>
      </c>
      <c r="C90" s="11" t="s">
        <v>33</v>
      </c>
      <c r="D90" s="11" t="s">
        <v>69</v>
      </c>
      <c r="E90" s="13">
        <v>1154.33</v>
      </c>
      <c r="F90" s="14">
        <v>11</v>
      </c>
      <c r="G90" s="15">
        <v>0.15</v>
      </c>
      <c r="H90" s="16">
        <v>45549</v>
      </c>
      <c r="I90" s="13">
        <v>441.53</v>
      </c>
      <c r="J90" s="17">
        <f t="shared" si="19"/>
        <v>5913.68</v>
      </c>
      <c r="K90" s="18" t="str">
        <f>IF(INDEX('Pivot Table'!$N$5:$N$34,MATCH(A90,'Pivot Table'!$I$5:$I$34,0))&lt;=10,"Top 10","")</f>
        <v/>
      </c>
      <c r="L90" s="17">
        <f t="shared" si="20"/>
        <v>1358.04</v>
      </c>
      <c r="M90" s="17">
        <f t="shared" si="21"/>
        <v>1222.24</v>
      </c>
      <c r="N90" s="17">
        <f t="shared" si="22"/>
        <v>509.44</v>
      </c>
      <c r="O90" s="19">
        <f t="shared" si="23"/>
        <v>0.38249893877833896</v>
      </c>
      <c r="P90" s="20">
        <f t="shared" si="24"/>
        <v>45536</v>
      </c>
      <c r="Q90" s="18" t="str">
        <f>IF(J90&gt;='Pivot Table'!$R$4,"High Value","Standard")</f>
        <v>Standard</v>
      </c>
      <c r="R90" s="21">
        <f t="shared" ca="1" si="25"/>
        <v>46304.639624537034</v>
      </c>
      <c r="T90" s="48">
        <v>1000</v>
      </c>
      <c r="U90" s="44">
        <v>51</v>
      </c>
      <c r="V90" s="49">
        <v>0.53</v>
      </c>
      <c r="AD90" s="44">
        <v>28</v>
      </c>
      <c r="AE90" s="39">
        <v>328.45379946396639</v>
      </c>
      <c r="AF90" s="39">
        <v>28.396200536033628</v>
      </c>
      <c r="AG90" s="45">
        <v>0.32994218587788721</v>
      </c>
    </row>
    <row r="91" spans="1:33" ht="15.75" customHeight="1" x14ac:dyDescent="0.3">
      <c r="A91" s="11" t="s">
        <v>86</v>
      </c>
      <c r="B91" s="12" t="s">
        <v>87</v>
      </c>
      <c r="C91" s="11" t="s">
        <v>41</v>
      </c>
      <c r="D91" s="11" t="s">
        <v>25</v>
      </c>
      <c r="E91" s="13">
        <v>1264.49</v>
      </c>
      <c r="F91" s="14">
        <v>16</v>
      </c>
      <c r="G91" s="15">
        <v>0.05</v>
      </c>
      <c r="H91" s="16">
        <v>45549</v>
      </c>
      <c r="I91" s="13">
        <v>480.51</v>
      </c>
      <c r="J91" s="17">
        <f t="shared" si="19"/>
        <v>4418.2800000000007</v>
      </c>
      <c r="K91" s="18" t="str">
        <f>IF(INDEX('Pivot Table'!$N$5:$N$34,MATCH(A91,'Pivot Table'!$I$5:$I$34,0))&lt;=10,"Top 10","")</f>
        <v/>
      </c>
      <c r="L91" s="17">
        <f t="shared" si="20"/>
        <v>1331.04</v>
      </c>
      <c r="M91" s="17">
        <f t="shared" si="21"/>
        <v>1197.94</v>
      </c>
      <c r="N91" s="17">
        <f t="shared" si="22"/>
        <v>413.96</v>
      </c>
      <c r="O91" s="19">
        <f t="shared" si="23"/>
        <v>0.38000300516413732</v>
      </c>
      <c r="P91" s="20">
        <f t="shared" si="24"/>
        <v>45536</v>
      </c>
      <c r="Q91" s="18" t="str">
        <f>IF(J91&gt;='Pivot Table'!$R$4,"High Value","Standard")</f>
        <v>Standard</v>
      </c>
      <c r="R91" s="21">
        <f t="shared" ca="1" si="25"/>
        <v>46304.639624537034</v>
      </c>
      <c r="T91" s="48">
        <v>1200</v>
      </c>
      <c r="U91" s="44">
        <v>50</v>
      </c>
      <c r="V91" s="49">
        <v>0.78</v>
      </c>
      <c r="AD91" s="44">
        <v>29</v>
      </c>
      <c r="AE91" s="39">
        <v>343.97917694160049</v>
      </c>
      <c r="AF91" s="39">
        <v>54.270823058399458</v>
      </c>
      <c r="AG91" s="45">
        <v>0.63058555902780278</v>
      </c>
    </row>
    <row r="92" spans="1:33" ht="15.75" customHeight="1" x14ac:dyDescent="0.3">
      <c r="A92" s="11" t="s">
        <v>50</v>
      </c>
      <c r="B92" s="12" t="s">
        <v>118</v>
      </c>
      <c r="C92" s="11" t="s">
        <v>24</v>
      </c>
      <c r="D92" s="11" t="s">
        <v>52</v>
      </c>
      <c r="E92" s="13">
        <v>1101.55</v>
      </c>
      <c r="F92" s="14">
        <v>4</v>
      </c>
      <c r="G92" s="15">
        <v>0.1</v>
      </c>
      <c r="H92" s="16">
        <v>45551</v>
      </c>
      <c r="I92" s="13">
        <v>346.99</v>
      </c>
      <c r="J92" s="17">
        <f t="shared" si="19"/>
        <v>9941.8799999999992</v>
      </c>
      <c r="K92" s="18" t="str">
        <f>IF(INDEX('Pivot Table'!$N$5:$N$34,MATCH(A92,'Pivot Table'!$I$5:$I$34,0))&lt;=10,"Top 10","")</f>
        <v>Top 10</v>
      </c>
      <c r="L92" s="17">
        <f t="shared" si="20"/>
        <v>1223.94</v>
      </c>
      <c r="M92" s="17">
        <f t="shared" si="21"/>
        <v>1101.55</v>
      </c>
      <c r="N92" s="17">
        <f t="shared" si="22"/>
        <v>346.99</v>
      </c>
      <c r="O92" s="19">
        <f t="shared" si="23"/>
        <v>0.31500158867050976</v>
      </c>
      <c r="P92" s="20">
        <f t="shared" si="24"/>
        <v>45536</v>
      </c>
      <c r="Q92" s="18" t="str">
        <f>IF(J92&gt;='Pivot Table'!$R$4,"High Value","Standard")</f>
        <v>High Value</v>
      </c>
      <c r="R92" s="21">
        <f t="shared" ca="1" si="25"/>
        <v>46304.639624537034</v>
      </c>
      <c r="T92" s="48">
        <v>1400</v>
      </c>
      <c r="U92" s="44">
        <v>26</v>
      </c>
      <c r="V92" s="49">
        <v>0.91</v>
      </c>
      <c r="AD92" s="44">
        <v>30</v>
      </c>
      <c r="AE92" s="39">
        <v>280.07777581162293</v>
      </c>
      <c r="AF92" s="39">
        <v>-119.8377758116229</v>
      </c>
      <c r="AG92" s="45">
        <v>-1.392423526938295</v>
      </c>
    </row>
    <row r="93" spans="1:33" ht="15.75" customHeight="1" x14ac:dyDescent="0.3">
      <c r="A93" s="11" t="s">
        <v>161</v>
      </c>
      <c r="B93" s="12" t="s">
        <v>27</v>
      </c>
      <c r="C93" s="11" t="s">
        <v>41</v>
      </c>
      <c r="D93" s="11" t="s">
        <v>52</v>
      </c>
      <c r="E93" s="13">
        <v>727.73</v>
      </c>
      <c r="F93" s="14">
        <v>1</v>
      </c>
      <c r="G93" s="15">
        <v>0.1</v>
      </c>
      <c r="H93" s="16">
        <v>45552</v>
      </c>
      <c r="I93" s="13">
        <v>229.23</v>
      </c>
      <c r="J93" s="17">
        <f t="shared" si="19"/>
        <v>4162.4400000000005</v>
      </c>
      <c r="K93" s="18" t="str">
        <f>IF(INDEX('Pivot Table'!$N$5:$N$34,MATCH(A93,'Pivot Table'!$I$5:$I$34,0))&lt;=10,"Top 10","")</f>
        <v/>
      </c>
      <c r="L93" s="17">
        <f t="shared" si="20"/>
        <v>808.59</v>
      </c>
      <c r="M93" s="17">
        <f t="shared" si="21"/>
        <v>727.73</v>
      </c>
      <c r="N93" s="17">
        <f t="shared" si="22"/>
        <v>229.23</v>
      </c>
      <c r="O93" s="19">
        <f t="shared" si="23"/>
        <v>0.31499319802674064</v>
      </c>
      <c r="P93" s="20">
        <f t="shared" si="24"/>
        <v>45536</v>
      </c>
      <c r="Q93" s="18" t="str">
        <f>IF(J93&gt;='Pivot Table'!$R$4,"High Value","Standard")</f>
        <v>Standard</v>
      </c>
      <c r="R93" s="21">
        <f t="shared" ca="1" si="25"/>
        <v>46304.639624537034</v>
      </c>
      <c r="T93" s="48">
        <v>1600</v>
      </c>
      <c r="U93" s="44">
        <v>14</v>
      </c>
      <c r="V93" s="49">
        <v>0.98</v>
      </c>
      <c r="AD93" s="44">
        <v>31</v>
      </c>
      <c r="AE93" s="39">
        <v>507.95874014435498</v>
      </c>
      <c r="AF93" s="39">
        <v>-181.54874014435501</v>
      </c>
      <c r="AG93" s="45">
        <v>-2.1094578512570221</v>
      </c>
    </row>
    <row r="94" spans="1:33" ht="15.75" customHeight="1" x14ac:dyDescent="0.3">
      <c r="A94" s="11" t="s">
        <v>162</v>
      </c>
      <c r="B94" s="12" t="s">
        <v>68</v>
      </c>
      <c r="C94" s="11" t="s">
        <v>33</v>
      </c>
      <c r="D94" s="11" t="s">
        <v>69</v>
      </c>
      <c r="E94" s="13">
        <v>875.41</v>
      </c>
      <c r="F94" s="14">
        <v>13</v>
      </c>
      <c r="G94" s="15">
        <v>0.15</v>
      </c>
      <c r="H94" s="16">
        <v>45552</v>
      </c>
      <c r="I94" s="13">
        <v>334.84</v>
      </c>
      <c r="J94" s="17">
        <f t="shared" si="19"/>
        <v>3906.04</v>
      </c>
      <c r="K94" s="18" t="str">
        <f>IF(INDEX('Pivot Table'!$N$5:$N$34,MATCH(A94,'Pivot Table'!$I$5:$I$34,0))&lt;=10,"Top 10","")</f>
        <v/>
      </c>
      <c r="L94" s="17">
        <f t="shared" si="20"/>
        <v>1029.8900000000001</v>
      </c>
      <c r="M94" s="17">
        <f t="shared" si="21"/>
        <v>926.9</v>
      </c>
      <c r="N94" s="17">
        <f t="shared" si="22"/>
        <v>386.33</v>
      </c>
      <c r="O94" s="19">
        <f t="shared" si="23"/>
        <v>0.382495059457854</v>
      </c>
      <c r="P94" s="20">
        <f t="shared" si="24"/>
        <v>45536</v>
      </c>
      <c r="Q94" s="18" t="str">
        <f>IF(J94&gt;='Pivot Table'!$R$4,"High Value","Standard")</f>
        <v>Standard</v>
      </c>
      <c r="R94" s="21">
        <f t="shared" ca="1" si="25"/>
        <v>46304.639624537034</v>
      </c>
      <c r="T94" s="48">
        <v>1800</v>
      </c>
      <c r="U94" s="44">
        <v>3</v>
      </c>
      <c r="V94" s="49">
        <v>0.995</v>
      </c>
      <c r="AD94" s="44">
        <v>32</v>
      </c>
      <c r="AE94" s="39">
        <v>357.96780519094011</v>
      </c>
      <c r="AF94" s="39">
        <v>30.852194809059881</v>
      </c>
      <c r="AG94" s="45">
        <v>0.35847896557549391</v>
      </c>
    </row>
    <row r="95" spans="1:33" ht="15.75" customHeight="1" x14ac:dyDescent="0.3">
      <c r="A95" s="11" t="s">
        <v>119</v>
      </c>
      <c r="B95" s="12" t="s">
        <v>46</v>
      </c>
      <c r="C95" s="11" t="s">
        <v>24</v>
      </c>
      <c r="D95" s="11" t="s">
        <v>42</v>
      </c>
      <c r="E95" s="13">
        <v>1158.94</v>
      </c>
      <c r="F95" s="14">
        <v>19</v>
      </c>
      <c r="G95" s="15">
        <v>0.2</v>
      </c>
      <c r="H95" s="16">
        <v>45553</v>
      </c>
      <c r="I95" s="13">
        <v>231.79</v>
      </c>
      <c r="J95" s="17">
        <f t="shared" si="19"/>
        <v>8490.18</v>
      </c>
      <c r="K95" s="18" t="str">
        <f>IF(INDEX('Pivot Table'!$N$5:$N$34,MATCH(A95,'Pivot Table'!$I$5:$I$34,0))&lt;=10,"Top 10","")</f>
        <v>Top 10</v>
      </c>
      <c r="L95" s="17">
        <f t="shared" si="20"/>
        <v>1448.68</v>
      </c>
      <c r="M95" s="17">
        <f t="shared" si="21"/>
        <v>1303.81</v>
      </c>
      <c r="N95" s="17">
        <f t="shared" si="22"/>
        <v>376.66</v>
      </c>
      <c r="O95" s="19">
        <f t="shared" si="23"/>
        <v>0.20000172571487737</v>
      </c>
      <c r="P95" s="20">
        <f t="shared" si="24"/>
        <v>45536</v>
      </c>
      <c r="Q95" s="18" t="str">
        <f>IF(J95&gt;='Pivot Table'!$R$4,"High Value","Standard")</f>
        <v>High Value</v>
      </c>
      <c r="R95" s="21">
        <f t="shared" ca="1" si="25"/>
        <v>46304.639624537034</v>
      </c>
      <c r="T95" s="48">
        <v>2000</v>
      </c>
      <c r="U95" s="44">
        <v>1</v>
      </c>
      <c r="V95" s="49">
        <v>1</v>
      </c>
      <c r="AD95" s="44">
        <v>33</v>
      </c>
      <c r="AE95" s="39">
        <v>298.50122375174868</v>
      </c>
      <c r="AF95" s="39">
        <v>-44.521223751748749</v>
      </c>
      <c r="AG95" s="45">
        <v>-0.51730265335921255</v>
      </c>
    </row>
    <row r="96" spans="1:33" ht="15.75" customHeight="1" x14ac:dyDescent="0.3">
      <c r="A96" s="11" t="s">
        <v>163</v>
      </c>
      <c r="B96" s="12" t="s">
        <v>84</v>
      </c>
      <c r="C96" s="11" t="s">
        <v>41</v>
      </c>
      <c r="D96" s="11" t="s">
        <v>25</v>
      </c>
      <c r="E96" s="13">
        <v>966.3</v>
      </c>
      <c r="F96" s="14">
        <v>2</v>
      </c>
      <c r="G96" s="15">
        <v>0.15</v>
      </c>
      <c r="H96" s="16">
        <v>45557</v>
      </c>
      <c r="I96" s="13">
        <v>328.54</v>
      </c>
      <c r="J96" s="17">
        <f t="shared" si="19"/>
        <v>4951.8899999999994</v>
      </c>
      <c r="K96" s="18" t="str">
        <f>IF(INDEX('Pivot Table'!$N$5:$N$34,MATCH(A96,'Pivot Table'!$I$5:$I$34,0))&lt;=10,"Top 10","")</f>
        <v/>
      </c>
      <c r="L96" s="17">
        <f t="shared" si="20"/>
        <v>1136.82</v>
      </c>
      <c r="M96" s="17">
        <f t="shared" si="21"/>
        <v>1023.14</v>
      </c>
      <c r="N96" s="17">
        <f t="shared" si="22"/>
        <v>385.38</v>
      </c>
      <c r="O96" s="19">
        <f t="shared" si="23"/>
        <v>0.339997930249405</v>
      </c>
      <c r="P96" s="20">
        <f t="shared" si="24"/>
        <v>45536</v>
      </c>
      <c r="Q96" s="18" t="str">
        <f>IF(J96&gt;='Pivot Table'!$R$4,"High Value","Standard")</f>
        <v>Standard</v>
      </c>
      <c r="R96" s="21">
        <f t="shared" ca="1" si="25"/>
        <v>46304.639624537034</v>
      </c>
      <c r="T96" s="50" t="s">
        <v>164</v>
      </c>
      <c r="U96" s="44">
        <v>0</v>
      </c>
      <c r="V96" s="49">
        <v>1</v>
      </c>
      <c r="AD96" s="44">
        <v>34</v>
      </c>
      <c r="AE96" s="39">
        <v>338.5584519239859</v>
      </c>
      <c r="AF96" s="39">
        <v>-120.7784519239859</v>
      </c>
      <c r="AG96" s="45">
        <v>-1.4033534656926829</v>
      </c>
    </row>
    <row r="97" spans="1:33" ht="15.75" customHeight="1" x14ac:dyDescent="0.3">
      <c r="A97" s="11" t="s">
        <v>132</v>
      </c>
      <c r="B97" s="12" t="s">
        <v>32</v>
      </c>
      <c r="C97" s="11" t="s">
        <v>41</v>
      </c>
      <c r="D97" s="11" t="s">
        <v>25</v>
      </c>
      <c r="E97" s="13">
        <v>917.48</v>
      </c>
      <c r="F97" s="14">
        <v>6</v>
      </c>
      <c r="G97" s="15">
        <v>0</v>
      </c>
      <c r="H97" s="16">
        <v>45558</v>
      </c>
      <c r="I97" s="13">
        <v>366.99</v>
      </c>
      <c r="J97" s="17">
        <f t="shared" si="19"/>
        <v>4413.71</v>
      </c>
      <c r="K97" s="18" t="str">
        <f>IF(INDEX('Pivot Table'!$N$5:$N$34,MATCH(A97,'Pivot Table'!$I$5:$I$34,0))&lt;=10,"Top 10","")</f>
        <v/>
      </c>
      <c r="L97" s="17">
        <f t="shared" si="20"/>
        <v>917.48</v>
      </c>
      <c r="M97" s="17">
        <f t="shared" si="21"/>
        <v>825.73</v>
      </c>
      <c r="N97" s="17">
        <f t="shared" si="22"/>
        <v>275.24</v>
      </c>
      <c r="O97" s="19">
        <f t="shared" si="23"/>
        <v>0.39999782011596985</v>
      </c>
      <c r="P97" s="20">
        <f t="shared" si="24"/>
        <v>45536</v>
      </c>
      <c r="Q97" s="18" t="str">
        <f>IF(J97&gt;='Pivot Table'!$R$4,"High Value","Standard")</f>
        <v>Standard</v>
      </c>
      <c r="R97" s="21">
        <f t="shared" ca="1" si="25"/>
        <v>46304.639624537034</v>
      </c>
      <c r="AD97" s="44">
        <v>35</v>
      </c>
      <c r="AE97" s="39">
        <v>420.31140573333153</v>
      </c>
      <c r="AF97" s="39">
        <v>93.068594266668526</v>
      </c>
      <c r="AG97" s="45">
        <v>1.081386060432999</v>
      </c>
    </row>
    <row r="98" spans="1:33" ht="15.75" customHeight="1" x14ac:dyDescent="0.3">
      <c r="A98" s="11" t="s">
        <v>78</v>
      </c>
      <c r="B98" s="12" t="s">
        <v>98</v>
      </c>
      <c r="C98" s="11" t="s">
        <v>24</v>
      </c>
      <c r="D98" s="11" t="s">
        <v>52</v>
      </c>
      <c r="E98" s="13">
        <v>1172.97</v>
      </c>
      <c r="F98" s="14">
        <v>7</v>
      </c>
      <c r="G98" s="15">
        <v>0.15</v>
      </c>
      <c r="H98" s="16">
        <v>45559</v>
      </c>
      <c r="I98" s="13">
        <v>348.96</v>
      </c>
      <c r="J98" s="17">
        <f t="shared" ref="J98:J129" si="26">SUMIFS($E$2:$E$201,$A$2:$A$201,A98)</f>
        <v>5779.05</v>
      </c>
      <c r="K98" s="18" t="str">
        <f>IF(INDEX('Pivot Table'!$N$5:$N$34,MATCH(A98,'Pivot Table'!$I$5:$I$34,0))&lt;=10,"Top 10","")</f>
        <v/>
      </c>
      <c r="L98" s="17">
        <f t="shared" ref="L98:L129" si="27">ROUND(E98/(1-G98),2)</f>
        <v>1379.96</v>
      </c>
      <c r="M98" s="17">
        <f t="shared" ref="M98:M129" si="28">ROUND(L98*(1-$U$3),2)</f>
        <v>1241.96</v>
      </c>
      <c r="N98" s="17">
        <f t="shared" ref="N98:N129" si="29">ROUND(M98-(E98-I98),2)</f>
        <v>417.95</v>
      </c>
      <c r="O98" s="19">
        <f t="shared" ref="O98:O129" si="30">I98/E98</f>
        <v>0.29750121486483028</v>
      </c>
      <c r="P98" s="20">
        <f t="shared" ref="P98:P129" si="31">DATE(YEAR(H98),MONTH(H98),1)</f>
        <v>45536</v>
      </c>
      <c r="Q98" s="18" t="str">
        <f>IF(J98&gt;='Pivot Table'!$R$4,"High Value","Standard")</f>
        <v>Standard</v>
      </c>
      <c r="R98" s="21">
        <f t="shared" ref="R98:R129" ca="1" si="32">NOW()</f>
        <v>46304.639624537034</v>
      </c>
      <c r="AD98" s="44">
        <v>36</v>
      </c>
      <c r="AE98" s="39">
        <v>164.7058012134207</v>
      </c>
      <c r="AF98" s="39">
        <v>-13.545801213420701</v>
      </c>
      <c r="AG98" s="45">
        <v>-0.15739187558391701</v>
      </c>
    </row>
    <row r="99" spans="1:33" ht="15.75" customHeight="1" x14ac:dyDescent="0.3">
      <c r="A99" s="11" t="s">
        <v>94</v>
      </c>
      <c r="B99" s="12" t="s">
        <v>46</v>
      </c>
      <c r="C99" s="11" t="s">
        <v>47</v>
      </c>
      <c r="D99" s="11" t="s">
        <v>28</v>
      </c>
      <c r="E99" s="13">
        <v>1205.82</v>
      </c>
      <c r="F99" s="14">
        <v>11</v>
      </c>
      <c r="G99" s="15">
        <v>0.1</v>
      </c>
      <c r="H99" s="16">
        <v>45559</v>
      </c>
      <c r="I99" s="13">
        <v>542.62</v>
      </c>
      <c r="J99" s="17">
        <f t="shared" si="26"/>
        <v>8740.18</v>
      </c>
      <c r="K99" s="18" t="str">
        <f>IF(INDEX('Pivot Table'!$N$5:$N$34,MATCH(A99,'Pivot Table'!$I$5:$I$34,0))&lt;=10,"Top 10","")</f>
        <v>Top 10</v>
      </c>
      <c r="L99" s="17">
        <f t="shared" si="27"/>
        <v>1339.8</v>
      </c>
      <c r="M99" s="17">
        <f t="shared" si="28"/>
        <v>1205.82</v>
      </c>
      <c r="N99" s="17">
        <f t="shared" si="29"/>
        <v>542.62</v>
      </c>
      <c r="O99" s="19">
        <f t="shared" si="30"/>
        <v>0.45000082931117419</v>
      </c>
      <c r="P99" s="20">
        <f t="shared" si="31"/>
        <v>45536</v>
      </c>
      <c r="Q99" s="18" t="str">
        <f>IF(J99&gt;='Pivot Table'!$R$4,"High Value","Standard")</f>
        <v>High Value</v>
      </c>
      <c r="R99" s="21">
        <f t="shared" ca="1" si="32"/>
        <v>46304.639624537034</v>
      </c>
      <c r="AD99" s="44">
        <v>37</v>
      </c>
      <c r="AE99" s="39">
        <v>294.01026710285117</v>
      </c>
      <c r="AF99" s="39">
        <v>65.479732897148835</v>
      </c>
      <c r="AG99" s="45">
        <v>0.76082453972566555</v>
      </c>
    </row>
    <row r="100" spans="1:33" ht="15.75" customHeight="1" x14ac:dyDescent="0.3">
      <c r="A100" s="11" t="s">
        <v>31</v>
      </c>
      <c r="B100" s="12" t="s">
        <v>112</v>
      </c>
      <c r="C100" s="11" t="s">
        <v>24</v>
      </c>
      <c r="D100" s="11" t="s">
        <v>69</v>
      </c>
      <c r="E100" s="13">
        <v>826.93</v>
      </c>
      <c r="F100" s="14">
        <v>10</v>
      </c>
      <c r="G100" s="15">
        <v>0.2</v>
      </c>
      <c r="H100" s="16">
        <v>45564</v>
      </c>
      <c r="I100" s="13">
        <v>297.69</v>
      </c>
      <c r="J100" s="17">
        <f t="shared" si="26"/>
        <v>3419.2</v>
      </c>
      <c r="K100" s="18" t="str">
        <f>IF(INDEX('Pivot Table'!$N$5:$N$34,MATCH(A100,'Pivot Table'!$I$5:$I$34,0))&lt;=10,"Top 10","")</f>
        <v/>
      </c>
      <c r="L100" s="17">
        <f t="shared" si="27"/>
        <v>1033.6600000000001</v>
      </c>
      <c r="M100" s="17">
        <f t="shared" si="28"/>
        <v>930.29</v>
      </c>
      <c r="N100" s="17">
        <f t="shared" si="29"/>
        <v>401.05</v>
      </c>
      <c r="O100" s="19">
        <f t="shared" si="30"/>
        <v>0.35999419539743388</v>
      </c>
      <c r="P100" s="20">
        <f t="shared" si="31"/>
        <v>45536</v>
      </c>
      <c r="Q100" s="18" t="str">
        <f>IF(J100&gt;='Pivot Table'!$R$4,"High Value","Standard")</f>
        <v>Standard</v>
      </c>
      <c r="R100" s="21">
        <f t="shared" ca="1" si="32"/>
        <v>46304.639624537034</v>
      </c>
      <c r="AD100" s="44">
        <v>38</v>
      </c>
      <c r="AE100" s="39">
        <v>493.69644422422323</v>
      </c>
      <c r="AF100" s="39">
        <v>-24.85644422422325</v>
      </c>
      <c r="AG100" s="45">
        <v>-0.28881291812561422</v>
      </c>
    </row>
    <row r="101" spans="1:33" ht="15.75" customHeight="1" x14ac:dyDescent="0.3">
      <c r="A101" s="11" t="s">
        <v>119</v>
      </c>
      <c r="B101" s="12" t="s">
        <v>46</v>
      </c>
      <c r="C101" s="11" t="s">
        <v>63</v>
      </c>
      <c r="D101" s="11" t="s">
        <v>28</v>
      </c>
      <c r="E101" s="13">
        <v>902.19</v>
      </c>
      <c r="F101" s="14">
        <v>12</v>
      </c>
      <c r="G101" s="15">
        <v>0</v>
      </c>
      <c r="H101" s="16">
        <v>45564</v>
      </c>
      <c r="I101" s="13">
        <v>451.1</v>
      </c>
      <c r="J101" s="17">
        <f t="shared" si="26"/>
        <v>8490.18</v>
      </c>
      <c r="K101" s="18" t="str">
        <f>IF(INDEX('Pivot Table'!$N$5:$N$34,MATCH(A101,'Pivot Table'!$I$5:$I$34,0))&lt;=10,"Top 10","")</f>
        <v>Top 10</v>
      </c>
      <c r="L101" s="17">
        <f t="shared" si="27"/>
        <v>902.19</v>
      </c>
      <c r="M101" s="17">
        <f t="shared" si="28"/>
        <v>811.97</v>
      </c>
      <c r="N101" s="17">
        <f t="shared" si="29"/>
        <v>360.88</v>
      </c>
      <c r="O101" s="19">
        <f t="shared" si="30"/>
        <v>0.50000554206985226</v>
      </c>
      <c r="P101" s="20">
        <f t="shared" si="31"/>
        <v>45536</v>
      </c>
      <c r="Q101" s="18" t="str">
        <f>IF(J101&gt;='Pivot Table'!$R$4,"High Value","Standard")</f>
        <v>High Value</v>
      </c>
      <c r="R101" s="21">
        <f t="shared" ca="1" si="32"/>
        <v>46304.639624537034</v>
      </c>
      <c r="AD101" s="44">
        <v>39</v>
      </c>
      <c r="AE101" s="39">
        <v>270.21170542357601</v>
      </c>
      <c r="AF101" s="39">
        <v>-40.221705423575997</v>
      </c>
      <c r="AG101" s="45">
        <v>-0.46734553062304862</v>
      </c>
    </row>
    <row r="102" spans="1:33" ht="15.75" customHeight="1" x14ac:dyDescent="0.3">
      <c r="A102" s="11" t="s">
        <v>162</v>
      </c>
      <c r="B102" s="12" t="s">
        <v>68</v>
      </c>
      <c r="C102" s="11" t="s">
        <v>47</v>
      </c>
      <c r="D102" s="11" t="s">
        <v>25</v>
      </c>
      <c r="E102" s="13">
        <v>585.97</v>
      </c>
      <c r="F102" s="14">
        <v>17</v>
      </c>
      <c r="G102" s="15">
        <v>0.1</v>
      </c>
      <c r="H102" s="16">
        <v>45565</v>
      </c>
      <c r="I102" s="13">
        <v>210.95</v>
      </c>
      <c r="J102" s="17">
        <f t="shared" si="26"/>
        <v>3906.04</v>
      </c>
      <c r="K102" s="18" t="str">
        <f>IF(INDEX('Pivot Table'!$N$5:$N$34,MATCH(A102,'Pivot Table'!$I$5:$I$34,0))&lt;=10,"Top 10","")</f>
        <v/>
      </c>
      <c r="L102" s="17">
        <f t="shared" si="27"/>
        <v>651.08000000000004</v>
      </c>
      <c r="M102" s="17">
        <f t="shared" si="28"/>
        <v>585.97</v>
      </c>
      <c r="N102" s="17">
        <f t="shared" si="29"/>
        <v>210.95</v>
      </c>
      <c r="O102" s="19">
        <f t="shared" si="30"/>
        <v>0.36000136525760701</v>
      </c>
      <c r="P102" s="20">
        <f t="shared" si="31"/>
        <v>45536</v>
      </c>
      <c r="Q102" s="18" t="str">
        <f>IF(J102&gt;='Pivot Table'!$R$4,"High Value","Standard")</f>
        <v>Standard</v>
      </c>
      <c r="R102" s="21">
        <f t="shared" ca="1" si="32"/>
        <v>46304.639624537034</v>
      </c>
      <c r="AD102" s="44">
        <v>40</v>
      </c>
      <c r="AE102" s="39">
        <v>202.61579073790369</v>
      </c>
      <c r="AF102" s="39">
        <v>-5.2657907379036999</v>
      </c>
      <c r="AG102" s="45">
        <v>-6.1184470937750313E-2</v>
      </c>
    </row>
    <row r="103" spans="1:33" ht="15.75" customHeight="1" x14ac:dyDescent="0.3">
      <c r="A103" s="11" t="s">
        <v>97</v>
      </c>
      <c r="B103" s="12" t="s">
        <v>51</v>
      </c>
      <c r="C103" s="11" t="s">
        <v>47</v>
      </c>
      <c r="D103" s="11" t="s">
        <v>28</v>
      </c>
      <c r="E103" s="13">
        <v>990.19</v>
      </c>
      <c r="F103" s="14">
        <v>8</v>
      </c>
      <c r="G103" s="15">
        <v>0.1</v>
      </c>
      <c r="H103" s="16">
        <v>45565</v>
      </c>
      <c r="I103" s="13">
        <v>445.59</v>
      </c>
      <c r="J103" s="17">
        <f t="shared" si="26"/>
        <v>3369.17</v>
      </c>
      <c r="K103" s="18" t="str">
        <f>IF(INDEX('Pivot Table'!$N$5:$N$34,MATCH(A103,'Pivot Table'!$I$5:$I$34,0))&lt;=10,"Top 10","")</f>
        <v/>
      </c>
      <c r="L103" s="17">
        <f t="shared" si="27"/>
        <v>1100.21</v>
      </c>
      <c r="M103" s="17">
        <f t="shared" si="28"/>
        <v>990.19</v>
      </c>
      <c r="N103" s="17">
        <f t="shared" si="29"/>
        <v>445.59</v>
      </c>
      <c r="O103" s="19">
        <f t="shared" si="30"/>
        <v>0.45000454458235284</v>
      </c>
      <c r="P103" s="20">
        <f t="shared" si="31"/>
        <v>45536</v>
      </c>
      <c r="Q103" s="18" t="str">
        <f>IF(J103&gt;='Pivot Table'!$R$4,"High Value","Standard")</f>
        <v>Standard</v>
      </c>
      <c r="R103" s="21">
        <f t="shared" ca="1" si="32"/>
        <v>46304.639624537034</v>
      </c>
      <c r="AD103" s="44">
        <v>41</v>
      </c>
      <c r="AE103" s="39">
        <v>402.87737167991583</v>
      </c>
      <c r="AF103" s="39">
        <v>11.562628320084229</v>
      </c>
      <c r="AG103" s="45">
        <v>0.13434891958806511</v>
      </c>
    </row>
    <row r="104" spans="1:33" ht="15.75" customHeight="1" x14ac:dyDescent="0.3">
      <c r="A104" s="11" t="s">
        <v>81</v>
      </c>
      <c r="B104" s="12" t="s">
        <v>93</v>
      </c>
      <c r="C104" s="11" t="s">
        <v>63</v>
      </c>
      <c r="D104" s="11" t="s">
        <v>42</v>
      </c>
      <c r="E104" s="13">
        <v>1014.09</v>
      </c>
      <c r="F104" s="14">
        <v>13</v>
      </c>
      <c r="G104" s="15">
        <v>0.2</v>
      </c>
      <c r="H104" s="16">
        <v>45567</v>
      </c>
      <c r="I104" s="13">
        <v>202.82</v>
      </c>
      <c r="J104" s="17">
        <f t="shared" si="26"/>
        <v>9760.7999999999993</v>
      </c>
      <c r="K104" s="18" t="str">
        <f>IF(INDEX('Pivot Table'!$N$5:$N$34,MATCH(A104,'Pivot Table'!$I$5:$I$34,0))&lt;=10,"Top 10","")</f>
        <v>Top 10</v>
      </c>
      <c r="L104" s="17">
        <f t="shared" si="27"/>
        <v>1267.6099999999999</v>
      </c>
      <c r="M104" s="17">
        <f t="shared" si="28"/>
        <v>1140.8499999999999</v>
      </c>
      <c r="N104" s="17">
        <f t="shared" si="29"/>
        <v>329.58</v>
      </c>
      <c r="O104" s="19">
        <f t="shared" si="30"/>
        <v>0.2000019722115394</v>
      </c>
      <c r="P104" s="20">
        <f t="shared" si="31"/>
        <v>45566</v>
      </c>
      <c r="Q104" s="18" t="str">
        <f>IF(J104&gt;='Pivot Table'!$R$4,"High Value","Standard")</f>
        <v>High Value</v>
      </c>
      <c r="R104" s="21">
        <f t="shared" ca="1" si="32"/>
        <v>46304.639624537034</v>
      </c>
      <c r="AD104" s="44">
        <v>42</v>
      </c>
      <c r="AE104" s="39">
        <v>358.9396762782406</v>
      </c>
      <c r="AF104" s="39">
        <v>10.410323721759431</v>
      </c>
      <c r="AG104" s="45">
        <v>0.1209600192848018</v>
      </c>
    </row>
    <row r="105" spans="1:33" ht="15.75" customHeight="1" x14ac:dyDescent="0.3">
      <c r="A105" s="11" t="s">
        <v>26</v>
      </c>
      <c r="B105" s="12" t="s">
        <v>85</v>
      </c>
      <c r="C105" s="11" t="s">
        <v>47</v>
      </c>
      <c r="D105" s="11" t="s">
        <v>42</v>
      </c>
      <c r="E105" s="13">
        <v>925.29</v>
      </c>
      <c r="F105" s="14">
        <v>17</v>
      </c>
      <c r="G105" s="15">
        <v>0</v>
      </c>
      <c r="H105" s="16">
        <v>45570</v>
      </c>
      <c r="I105" s="13">
        <v>231.32</v>
      </c>
      <c r="J105" s="17">
        <f t="shared" si="26"/>
        <v>8339</v>
      </c>
      <c r="K105" s="18" t="str">
        <f>IF(INDEX('Pivot Table'!$N$5:$N$34,MATCH(A105,'Pivot Table'!$I$5:$I$34,0))&lt;=10,"Top 10","")</f>
        <v>Top 10</v>
      </c>
      <c r="L105" s="17">
        <f t="shared" si="27"/>
        <v>925.29</v>
      </c>
      <c r="M105" s="17">
        <f t="shared" si="28"/>
        <v>832.76</v>
      </c>
      <c r="N105" s="17">
        <f t="shared" si="29"/>
        <v>138.79</v>
      </c>
      <c r="O105" s="19">
        <f t="shared" si="30"/>
        <v>0.24999729814436555</v>
      </c>
      <c r="P105" s="20">
        <f t="shared" si="31"/>
        <v>45566</v>
      </c>
      <c r="Q105" s="18" t="str">
        <f>IF(J105&gt;='Pivot Table'!$R$4,"High Value","Standard")</f>
        <v>High Value</v>
      </c>
      <c r="R105" s="21">
        <f t="shared" ca="1" si="32"/>
        <v>46304.639624537034</v>
      </c>
      <c r="AD105" s="44">
        <v>43</v>
      </c>
      <c r="AE105" s="39">
        <v>194.19173846133879</v>
      </c>
      <c r="AF105" s="39">
        <v>18.638261538661229</v>
      </c>
      <c r="AG105" s="45">
        <v>0.21656237936572209</v>
      </c>
    </row>
    <row r="106" spans="1:33" ht="15.75" customHeight="1" x14ac:dyDescent="0.3">
      <c r="A106" s="11" t="s">
        <v>91</v>
      </c>
      <c r="B106" s="12" t="s">
        <v>84</v>
      </c>
      <c r="C106" s="11" t="s">
        <v>33</v>
      </c>
      <c r="D106" s="11" t="s">
        <v>52</v>
      </c>
      <c r="E106" s="13">
        <v>1286.54</v>
      </c>
      <c r="F106" s="14">
        <v>8</v>
      </c>
      <c r="G106" s="15">
        <v>0</v>
      </c>
      <c r="H106" s="16">
        <v>45575</v>
      </c>
      <c r="I106" s="13">
        <v>450.29</v>
      </c>
      <c r="J106" s="17">
        <f t="shared" si="26"/>
        <v>6716.52</v>
      </c>
      <c r="K106" s="18" t="str">
        <f>IF(INDEX('Pivot Table'!$N$5:$N$34,MATCH(A106,'Pivot Table'!$I$5:$I$34,0))&lt;=10,"Top 10","")</f>
        <v/>
      </c>
      <c r="L106" s="17">
        <f t="shared" si="27"/>
        <v>1286.54</v>
      </c>
      <c r="M106" s="17">
        <f t="shared" si="28"/>
        <v>1157.8900000000001</v>
      </c>
      <c r="N106" s="17">
        <f t="shared" si="29"/>
        <v>321.64</v>
      </c>
      <c r="O106" s="19">
        <f t="shared" si="30"/>
        <v>0.35000077727859225</v>
      </c>
      <c r="P106" s="20">
        <f t="shared" si="31"/>
        <v>45566</v>
      </c>
      <c r="Q106" s="18" t="str">
        <f>IF(J106&gt;='Pivot Table'!$R$4,"High Value","Standard")</f>
        <v>Standard</v>
      </c>
      <c r="R106" s="21">
        <f t="shared" ca="1" si="32"/>
        <v>46304.639624537034</v>
      </c>
      <c r="AD106" s="44">
        <v>44</v>
      </c>
      <c r="AE106" s="39">
        <v>293.9857071836775</v>
      </c>
      <c r="AF106" s="39">
        <v>8.7242928163224747</v>
      </c>
      <c r="AG106" s="45">
        <v>0.1013696264894126</v>
      </c>
    </row>
    <row r="107" spans="1:33" ht="15.75" customHeight="1" x14ac:dyDescent="0.3">
      <c r="A107" s="11" t="s">
        <v>67</v>
      </c>
      <c r="B107" s="12" t="s">
        <v>112</v>
      </c>
      <c r="C107" s="11" t="s">
        <v>41</v>
      </c>
      <c r="D107" s="11" t="s">
        <v>25</v>
      </c>
      <c r="E107" s="13">
        <v>961.62</v>
      </c>
      <c r="F107" s="14">
        <v>8</v>
      </c>
      <c r="G107" s="15">
        <v>0.2</v>
      </c>
      <c r="H107" s="16">
        <v>45577</v>
      </c>
      <c r="I107" s="13">
        <v>307.72000000000003</v>
      </c>
      <c r="J107" s="17">
        <f t="shared" si="26"/>
        <v>6729.8899999999994</v>
      </c>
      <c r="K107" s="18" t="str">
        <f>IF(INDEX('Pivot Table'!$N$5:$N$34,MATCH(A107,'Pivot Table'!$I$5:$I$34,0))&lt;=10,"Top 10","")</f>
        <v/>
      </c>
      <c r="L107" s="17">
        <f t="shared" si="27"/>
        <v>1202.03</v>
      </c>
      <c r="M107" s="17">
        <f t="shared" si="28"/>
        <v>1081.83</v>
      </c>
      <c r="N107" s="17">
        <f t="shared" si="29"/>
        <v>427.93</v>
      </c>
      <c r="O107" s="19">
        <f t="shared" si="30"/>
        <v>0.32000166385890477</v>
      </c>
      <c r="P107" s="20">
        <f t="shared" si="31"/>
        <v>45566</v>
      </c>
      <c r="Q107" s="18" t="str">
        <f>IF(J107&gt;='Pivot Table'!$R$4,"High Value","Standard")</f>
        <v>Standard</v>
      </c>
      <c r="R107" s="21">
        <f t="shared" ca="1" si="32"/>
        <v>46304.639624537034</v>
      </c>
      <c r="AD107" s="44">
        <v>45</v>
      </c>
      <c r="AE107" s="39">
        <v>429.55646102227291</v>
      </c>
      <c r="AF107" s="39">
        <v>-64.446461022272899</v>
      </c>
      <c r="AG107" s="45">
        <v>-0.74881870885508506</v>
      </c>
    </row>
    <row r="108" spans="1:33" ht="15.75" customHeight="1" x14ac:dyDescent="0.3">
      <c r="A108" s="11" t="s">
        <v>81</v>
      </c>
      <c r="B108" s="12" t="s">
        <v>46</v>
      </c>
      <c r="C108" s="11" t="s">
        <v>33</v>
      </c>
      <c r="D108" s="11" t="s">
        <v>25</v>
      </c>
      <c r="E108" s="13">
        <v>1081.1400000000001</v>
      </c>
      <c r="F108" s="14">
        <v>19</v>
      </c>
      <c r="G108" s="15">
        <v>0.15</v>
      </c>
      <c r="H108" s="16">
        <v>45577</v>
      </c>
      <c r="I108" s="13">
        <v>367.59</v>
      </c>
      <c r="J108" s="17">
        <f t="shared" si="26"/>
        <v>9760.7999999999993</v>
      </c>
      <c r="K108" s="18" t="str">
        <f>IF(INDEX('Pivot Table'!$N$5:$N$34,MATCH(A108,'Pivot Table'!$I$5:$I$34,0))&lt;=10,"Top 10","")</f>
        <v>Top 10</v>
      </c>
      <c r="L108" s="17">
        <f t="shared" si="27"/>
        <v>1271.93</v>
      </c>
      <c r="M108" s="17">
        <f t="shared" si="28"/>
        <v>1144.74</v>
      </c>
      <c r="N108" s="17">
        <f t="shared" si="29"/>
        <v>431.19</v>
      </c>
      <c r="O108" s="19">
        <f t="shared" si="30"/>
        <v>0.34000221987901652</v>
      </c>
      <c r="P108" s="20">
        <f t="shared" si="31"/>
        <v>45566</v>
      </c>
      <c r="Q108" s="18" t="str">
        <f>IF(J108&gt;='Pivot Table'!$R$4,"High Value","Standard")</f>
        <v>High Value</v>
      </c>
      <c r="R108" s="21">
        <f t="shared" ca="1" si="32"/>
        <v>46304.639624537034</v>
      </c>
      <c r="AD108" s="44">
        <v>46</v>
      </c>
      <c r="AE108" s="39">
        <v>299.54677459657017</v>
      </c>
      <c r="AF108" s="39">
        <v>-85.366774596570224</v>
      </c>
      <c r="AG108" s="45">
        <v>-0.9918967918259215</v>
      </c>
    </row>
    <row r="109" spans="1:33" ht="15.75" customHeight="1" x14ac:dyDescent="0.3">
      <c r="A109" s="11" t="s">
        <v>95</v>
      </c>
      <c r="B109" s="12" t="s">
        <v>46</v>
      </c>
      <c r="C109" s="11" t="s">
        <v>24</v>
      </c>
      <c r="D109" s="11" t="s">
        <v>28</v>
      </c>
      <c r="E109" s="13">
        <v>1923.66</v>
      </c>
      <c r="F109" s="14">
        <v>9</v>
      </c>
      <c r="G109" s="15">
        <v>0.2</v>
      </c>
      <c r="H109" s="16">
        <v>45580</v>
      </c>
      <c r="I109" s="13">
        <v>769.46</v>
      </c>
      <c r="J109" s="17">
        <f t="shared" si="26"/>
        <v>11611.060000000001</v>
      </c>
      <c r="K109" s="18" t="str">
        <f>IF(INDEX('Pivot Table'!$N$5:$N$34,MATCH(A109,'Pivot Table'!$I$5:$I$34,0))&lt;=10,"Top 10","")</f>
        <v>Top 10</v>
      </c>
      <c r="L109" s="17">
        <f t="shared" si="27"/>
        <v>2404.58</v>
      </c>
      <c r="M109" s="17">
        <f t="shared" si="28"/>
        <v>2164.12</v>
      </c>
      <c r="N109" s="17">
        <f t="shared" si="29"/>
        <v>1009.92</v>
      </c>
      <c r="O109" s="19">
        <f t="shared" si="30"/>
        <v>0.39999792063046485</v>
      </c>
      <c r="P109" s="20">
        <f t="shared" si="31"/>
        <v>45566</v>
      </c>
      <c r="Q109" s="18" t="str">
        <f>IF(J109&gt;='Pivot Table'!$R$4,"High Value","Standard")</f>
        <v>High Value</v>
      </c>
      <c r="R109" s="21">
        <f t="shared" ca="1" si="32"/>
        <v>46304.639624537034</v>
      </c>
      <c r="AD109" s="44">
        <v>47</v>
      </c>
      <c r="AE109" s="39">
        <v>428.91439456387582</v>
      </c>
      <c r="AF109" s="39">
        <v>39.80560543612421</v>
      </c>
      <c r="AG109" s="45">
        <v>0.46251076622457249</v>
      </c>
    </row>
    <row r="110" spans="1:33" ht="15.75" customHeight="1" x14ac:dyDescent="0.3">
      <c r="A110" s="11" t="s">
        <v>91</v>
      </c>
      <c r="B110" s="12" t="s">
        <v>118</v>
      </c>
      <c r="C110" s="11" t="s">
        <v>63</v>
      </c>
      <c r="D110" s="11" t="s">
        <v>28</v>
      </c>
      <c r="E110" s="13">
        <v>728.71</v>
      </c>
      <c r="F110" s="14">
        <v>14</v>
      </c>
      <c r="G110" s="15">
        <v>0.1</v>
      </c>
      <c r="H110" s="16">
        <v>45581</v>
      </c>
      <c r="I110" s="13">
        <v>327.92</v>
      </c>
      <c r="J110" s="17">
        <f t="shared" si="26"/>
        <v>6716.52</v>
      </c>
      <c r="K110" s="18" t="str">
        <f>IF(INDEX('Pivot Table'!$N$5:$N$34,MATCH(A110,'Pivot Table'!$I$5:$I$34,0))&lt;=10,"Top 10","")</f>
        <v/>
      </c>
      <c r="L110" s="17">
        <f t="shared" si="27"/>
        <v>809.68</v>
      </c>
      <c r="M110" s="17">
        <f t="shared" si="28"/>
        <v>728.71</v>
      </c>
      <c r="N110" s="17">
        <f t="shared" si="29"/>
        <v>327.92</v>
      </c>
      <c r="O110" s="19">
        <f t="shared" si="30"/>
        <v>0.4500006861440079</v>
      </c>
      <c r="P110" s="20">
        <f t="shared" si="31"/>
        <v>45566</v>
      </c>
      <c r="Q110" s="18" t="str">
        <f>IF(J110&gt;='Pivot Table'!$R$4,"High Value","Standard")</f>
        <v>Standard</v>
      </c>
      <c r="R110" s="21">
        <f t="shared" ca="1" si="32"/>
        <v>46304.639624537034</v>
      </c>
      <c r="AD110" s="44">
        <v>48</v>
      </c>
      <c r="AE110" s="39">
        <v>350.37528160639772</v>
      </c>
      <c r="AF110" s="39">
        <v>100.3347183936023</v>
      </c>
      <c r="AG110" s="45">
        <v>1.165812879234281</v>
      </c>
    </row>
    <row r="111" spans="1:33" ht="15.75" customHeight="1" x14ac:dyDescent="0.3">
      <c r="A111" s="11" t="s">
        <v>22</v>
      </c>
      <c r="B111" s="12" t="s">
        <v>62</v>
      </c>
      <c r="C111" s="11" t="s">
        <v>63</v>
      </c>
      <c r="D111" s="11" t="s">
        <v>28</v>
      </c>
      <c r="E111" s="13">
        <v>1301.8900000000001</v>
      </c>
      <c r="F111" s="14">
        <v>7</v>
      </c>
      <c r="G111" s="15">
        <v>0.15</v>
      </c>
      <c r="H111" s="16">
        <v>45581</v>
      </c>
      <c r="I111" s="13">
        <v>553.29999999999995</v>
      </c>
      <c r="J111" s="17">
        <f t="shared" si="26"/>
        <v>4640.1099999999997</v>
      </c>
      <c r="K111" s="18" t="str">
        <f>IF(INDEX('Pivot Table'!$N$5:$N$34,MATCH(A111,'Pivot Table'!$I$5:$I$34,0))&lt;=10,"Top 10","")</f>
        <v/>
      </c>
      <c r="L111" s="17">
        <f t="shared" si="27"/>
        <v>1531.64</v>
      </c>
      <c r="M111" s="17">
        <f t="shared" si="28"/>
        <v>1378.48</v>
      </c>
      <c r="N111" s="17">
        <f t="shared" si="29"/>
        <v>629.89</v>
      </c>
      <c r="O111" s="19">
        <f t="shared" si="30"/>
        <v>0.4249975036293388</v>
      </c>
      <c r="P111" s="20">
        <f t="shared" si="31"/>
        <v>45566</v>
      </c>
      <c r="Q111" s="18" t="str">
        <f>IF(J111&gt;='Pivot Table'!$R$4,"High Value","Standard")</f>
        <v>Standard</v>
      </c>
      <c r="R111" s="21">
        <f t="shared" ca="1" si="32"/>
        <v>46304.639624537034</v>
      </c>
      <c r="AD111" s="44">
        <v>49</v>
      </c>
      <c r="AE111" s="39">
        <v>415.38187909918992</v>
      </c>
      <c r="AF111" s="39">
        <v>-83.061879099189923</v>
      </c>
      <c r="AG111" s="45">
        <v>-0.96511566462333198</v>
      </c>
    </row>
    <row r="112" spans="1:33" ht="15.75" customHeight="1" x14ac:dyDescent="0.3">
      <c r="A112" s="11" t="s">
        <v>143</v>
      </c>
      <c r="B112" s="12" t="s">
        <v>118</v>
      </c>
      <c r="C112" s="11" t="s">
        <v>33</v>
      </c>
      <c r="D112" s="11" t="s">
        <v>25</v>
      </c>
      <c r="E112" s="13">
        <v>980.18</v>
      </c>
      <c r="F112" s="14">
        <v>16</v>
      </c>
      <c r="G112" s="15">
        <v>0.1</v>
      </c>
      <c r="H112" s="16">
        <v>45582</v>
      </c>
      <c r="I112" s="13">
        <v>352.86</v>
      </c>
      <c r="J112" s="17">
        <f t="shared" si="26"/>
        <v>7583.1299999999992</v>
      </c>
      <c r="K112" s="18" t="str">
        <f>IF(INDEX('Pivot Table'!$N$5:$N$34,MATCH(A112,'Pivot Table'!$I$5:$I$34,0))&lt;=10,"Top 10","")</f>
        <v/>
      </c>
      <c r="L112" s="17">
        <f t="shared" si="27"/>
        <v>1089.0899999999999</v>
      </c>
      <c r="M112" s="17">
        <f t="shared" si="28"/>
        <v>980.18</v>
      </c>
      <c r="N112" s="17">
        <f t="shared" si="29"/>
        <v>352.86</v>
      </c>
      <c r="O112" s="19">
        <f t="shared" si="30"/>
        <v>0.35999510294027631</v>
      </c>
      <c r="P112" s="20">
        <f t="shared" si="31"/>
        <v>45566</v>
      </c>
      <c r="Q112" s="18" t="str">
        <f>IF(J112&gt;='Pivot Table'!$R$4,"High Value","Standard")</f>
        <v>Standard</v>
      </c>
      <c r="R112" s="21">
        <f t="shared" ca="1" si="32"/>
        <v>46304.639624537034</v>
      </c>
      <c r="AD112" s="44">
        <v>50</v>
      </c>
      <c r="AE112" s="39">
        <v>271.03972555571647</v>
      </c>
      <c r="AF112" s="39">
        <v>-96.55972555571654</v>
      </c>
      <c r="AG112" s="45">
        <v>-1.1219503425183259</v>
      </c>
    </row>
    <row r="113" spans="1:33" ht="15.75" customHeight="1" x14ac:dyDescent="0.3">
      <c r="A113" s="11" t="s">
        <v>162</v>
      </c>
      <c r="B113" s="12" t="s">
        <v>46</v>
      </c>
      <c r="C113" s="11" t="s">
        <v>24</v>
      </c>
      <c r="D113" s="11" t="s">
        <v>28</v>
      </c>
      <c r="E113" s="13">
        <v>697.57</v>
      </c>
      <c r="F113" s="14">
        <v>17</v>
      </c>
      <c r="G113" s="15">
        <v>0.1</v>
      </c>
      <c r="H113" s="16">
        <v>45584</v>
      </c>
      <c r="I113" s="13">
        <v>313.91000000000003</v>
      </c>
      <c r="J113" s="17">
        <f t="shared" si="26"/>
        <v>3906.04</v>
      </c>
      <c r="K113" s="18" t="str">
        <f>IF(INDEX('Pivot Table'!$N$5:$N$34,MATCH(A113,'Pivot Table'!$I$5:$I$34,0))&lt;=10,"Top 10","")</f>
        <v/>
      </c>
      <c r="L113" s="17">
        <f t="shared" si="27"/>
        <v>775.08</v>
      </c>
      <c r="M113" s="17">
        <f t="shared" si="28"/>
        <v>697.57</v>
      </c>
      <c r="N113" s="17">
        <f t="shared" si="29"/>
        <v>313.91000000000003</v>
      </c>
      <c r="O113" s="19">
        <f t="shared" si="30"/>
        <v>0.45000501741760685</v>
      </c>
      <c r="P113" s="20">
        <f t="shared" si="31"/>
        <v>45566</v>
      </c>
      <c r="Q113" s="18" t="str">
        <f>IF(J113&gt;='Pivot Table'!$R$4,"High Value","Standard")</f>
        <v>Standard</v>
      </c>
      <c r="R113" s="21">
        <f t="shared" ca="1" si="32"/>
        <v>46304.639624537034</v>
      </c>
      <c r="AD113" s="44">
        <v>51</v>
      </c>
      <c r="AE113" s="39">
        <v>357.35731577148061</v>
      </c>
      <c r="AF113" s="39">
        <v>-114.75731577148061</v>
      </c>
      <c r="AG113" s="45">
        <v>-1.333392457313938</v>
      </c>
    </row>
    <row r="114" spans="1:33" ht="15.75" customHeight="1" x14ac:dyDescent="0.3">
      <c r="A114" s="11" t="s">
        <v>83</v>
      </c>
      <c r="B114" s="12" t="s">
        <v>144</v>
      </c>
      <c r="C114" s="11" t="s">
        <v>24</v>
      </c>
      <c r="D114" s="11" t="s">
        <v>52</v>
      </c>
      <c r="E114" s="13">
        <v>1193.6099999999999</v>
      </c>
      <c r="F114" s="14">
        <v>1</v>
      </c>
      <c r="G114" s="15">
        <v>0.15</v>
      </c>
      <c r="H114" s="16">
        <v>45584</v>
      </c>
      <c r="I114" s="13">
        <v>355.1</v>
      </c>
      <c r="J114" s="17">
        <f t="shared" si="26"/>
        <v>2699.75</v>
      </c>
      <c r="K114" s="18" t="str">
        <f>IF(INDEX('Pivot Table'!$N$5:$N$34,MATCH(A114,'Pivot Table'!$I$5:$I$34,0))&lt;=10,"Top 10","")</f>
        <v/>
      </c>
      <c r="L114" s="17">
        <f t="shared" si="27"/>
        <v>1404.25</v>
      </c>
      <c r="M114" s="17">
        <f t="shared" si="28"/>
        <v>1263.83</v>
      </c>
      <c r="N114" s="17">
        <f t="shared" si="29"/>
        <v>425.32</v>
      </c>
      <c r="O114" s="19">
        <f t="shared" si="30"/>
        <v>0.29750085873945431</v>
      </c>
      <c r="P114" s="20">
        <f t="shared" si="31"/>
        <v>45566</v>
      </c>
      <c r="Q114" s="18" t="str">
        <f>IF(J114&gt;='Pivot Table'!$R$4,"High Value","Standard")</f>
        <v>Standard</v>
      </c>
      <c r="R114" s="21">
        <f t="shared" ca="1" si="32"/>
        <v>46304.639624537034</v>
      </c>
      <c r="AD114" s="44">
        <v>52</v>
      </c>
      <c r="AE114" s="39">
        <v>429.33542174971001</v>
      </c>
      <c r="AF114" s="39">
        <v>122.6445782502901</v>
      </c>
      <c r="AG114" s="45">
        <v>1.425036429878112</v>
      </c>
    </row>
    <row r="115" spans="1:33" ht="15.75" customHeight="1" x14ac:dyDescent="0.3">
      <c r="A115" s="11" t="s">
        <v>61</v>
      </c>
      <c r="B115" s="12" t="s">
        <v>68</v>
      </c>
      <c r="C115" s="11" t="s">
        <v>41</v>
      </c>
      <c r="D115" s="11" t="s">
        <v>42</v>
      </c>
      <c r="E115" s="13">
        <v>771.02</v>
      </c>
      <c r="F115" s="14">
        <v>1</v>
      </c>
      <c r="G115" s="15">
        <v>0</v>
      </c>
      <c r="H115" s="16">
        <v>45585</v>
      </c>
      <c r="I115" s="13">
        <v>192.76</v>
      </c>
      <c r="J115" s="17">
        <f t="shared" si="26"/>
        <v>6505.2</v>
      </c>
      <c r="K115" s="18" t="str">
        <f>IF(INDEX('Pivot Table'!$N$5:$N$34,MATCH(A115,'Pivot Table'!$I$5:$I$34,0))&lt;=10,"Top 10","")</f>
        <v/>
      </c>
      <c r="L115" s="17">
        <f t="shared" si="27"/>
        <v>771.02</v>
      </c>
      <c r="M115" s="17">
        <f t="shared" si="28"/>
        <v>693.92</v>
      </c>
      <c r="N115" s="17">
        <f t="shared" si="29"/>
        <v>115.66</v>
      </c>
      <c r="O115" s="19">
        <f t="shared" si="30"/>
        <v>0.25000648491608518</v>
      </c>
      <c r="P115" s="20">
        <f t="shared" si="31"/>
        <v>45566</v>
      </c>
      <c r="Q115" s="18" t="str">
        <f>IF(J115&gt;='Pivot Table'!$R$4,"High Value","Standard")</f>
        <v>Standard</v>
      </c>
      <c r="R115" s="21">
        <f t="shared" ca="1" si="32"/>
        <v>46304.639624537034</v>
      </c>
      <c r="AD115" s="44">
        <v>53</v>
      </c>
      <c r="AE115" s="39">
        <v>380.32434875873332</v>
      </c>
      <c r="AF115" s="39">
        <v>0.10565124126668481</v>
      </c>
      <c r="AG115" s="45">
        <v>1.2275868188776739E-3</v>
      </c>
    </row>
    <row r="116" spans="1:33" ht="15.75" customHeight="1" x14ac:dyDescent="0.3">
      <c r="A116" s="11" t="s">
        <v>119</v>
      </c>
      <c r="B116" s="12" t="s">
        <v>141</v>
      </c>
      <c r="C116" s="11" t="s">
        <v>47</v>
      </c>
      <c r="D116" s="11" t="s">
        <v>28</v>
      </c>
      <c r="E116" s="13">
        <v>661.09</v>
      </c>
      <c r="F116" s="14">
        <v>1</v>
      </c>
      <c r="G116" s="15">
        <v>0.2</v>
      </c>
      <c r="H116" s="16">
        <v>45593</v>
      </c>
      <c r="I116" s="13">
        <v>264.44</v>
      </c>
      <c r="J116" s="17">
        <f t="shared" si="26"/>
        <v>8490.18</v>
      </c>
      <c r="K116" s="18" t="str">
        <f>IF(INDEX('Pivot Table'!$N$5:$N$34,MATCH(A116,'Pivot Table'!$I$5:$I$34,0))&lt;=10,"Top 10","")</f>
        <v>Top 10</v>
      </c>
      <c r="L116" s="17">
        <f t="shared" si="27"/>
        <v>826.36</v>
      </c>
      <c r="M116" s="17">
        <f t="shared" si="28"/>
        <v>743.72</v>
      </c>
      <c r="N116" s="17">
        <f t="shared" si="29"/>
        <v>347.07</v>
      </c>
      <c r="O116" s="19">
        <f t="shared" si="30"/>
        <v>0.4000060506133809</v>
      </c>
      <c r="P116" s="20">
        <f t="shared" si="31"/>
        <v>45566</v>
      </c>
      <c r="Q116" s="18" t="str">
        <f>IF(J116&gt;='Pivot Table'!$R$4,"High Value","Standard")</f>
        <v>High Value</v>
      </c>
      <c r="R116" s="21">
        <f t="shared" ca="1" si="32"/>
        <v>46304.639624537034</v>
      </c>
      <c r="AD116" s="44">
        <v>54</v>
      </c>
      <c r="AE116" s="39">
        <v>329.7905607789898</v>
      </c>
      <c r="AF116" s="39">
        <v>9.6494392210101978</v>
      </c>
      <c r="AG116" s="45">
        <v>0.11211912188871399</v>
      </c>
    </row>
    <row r="117" spans="1:33" ht="15.75" customHeight="1" x14ac:dyDescent="0.3">
      <c r="A117" s="11" t="s">
        <v>26</v>
      </c>
      <c r="B117" s="12" t="s">
        <v>92</v>
      </c>
      <c r="C117" s="11" t="s">
        <v>24</v>
      </c>
      <c r="D117" s="11" t="s">
        <v>42</v>
      </c>
      <c r="E117" s="13">
        <v>688.83</v>
      </c>
      <c r="F117" s="14">
        <v>15</v>
      </c>
      <c r="G117" s="15">
        <v>0</v>
      </c>
      <c r="H117" s="16">
        <v>45595</v>
      </c>
      <c r="I117" s="13">
        <v>172.21</v>
      </c>
      <c r="J117" s="17">
        <f t="shared" si="26"/>
        <v>8339</v>
      </c>
      <c r="K117" s="18" t="str">
        <f>IF(INDEX('Pivot Table'!$N$5:$N$34,MATCH(A117,'Pivot Table'!$I$5:$I$34,0))&lt;=10,"Top 10","")</f>
        <v>Top 10</v>
      </c>
      <c r="L117" s="17">
        <f t="shared" si="27"/>
        <v>688.83</v>
      </c>
      <c r="M117" s="17">
        <f t="shared" si="28"/>
        <v>619.95000000000005</v>
      </c>
      <c r="N117" s="17">
        <f t="shared" si="29"/>
        <v>103.33</v>
      </c>
      <c r="O117" s="19">
        <f t="shared" si="30"/>
        <v>0.2500036293425083</v>
      </c>
      <c r="P117" s="20">
        <f t="shared" si="31"/>
        <v>45566</v>
      </c>
      <c r="Q117" s="18" t="str">
        <f>IF(J117&gt;='Pivot Table'!$R$4,"High Value","Standard")</f>
        <v>High Value</v>
      </c>
      <c r="R117" s="21">
        <f t="shared" ca="1" si="32"/>
        <v>46304.639624537034</v>
      </c>
      <c r="AD117" s="44">
        <v>55</v>
      </c>
      <c r="AE117" s="39">
        <v>286.24933264397498</v>
      </c>
      <c r="AF117" s="39">
        <v>-112.259332643975</v>
      </c>
      <c r="AG117" s="45">
        <v>-1.304367799161894</v>
      </c>
    </row>
    <row r="118" spans="1:33" ht="15.75" customHeight="1" x14ac:dyDescent="0.3">
      <c r="A118" s="11" t="s">
        <v>161</v>
      </c>
      <c r="B118" s="12" t="s">
        <v>56</v>
      </c>
      <c r="C118" s="11" t="s">
        <v>63</v>
      </c>
      <c r="D118" s="11" t="s">
        <v>25</v>
      </c>
      <c r="E118" s="13">
        <v>1249.0999999999999</v>
      </c>
      <c r="F118" s="14">
        <v>4</v>
      </c>
      <c r="G118" s="15">
        <v>0.05</v>
      </c>
      <c r="H118" s="16">
        <v>45597</v>
      </c>
      <c r="I118" s="13">
        <v>474.66</v>
      </c>
      <c r="J118" s="17">
        <f t="shared" si="26"/>
        <v>4162.4400000000005</v>
      </c>
      <c r="K118" s="18" t="str">
        <f>IF(INDEX('Pivot Table'!$N$5:$N$34,MATCH(A118,'Pivot Table'!$I$5:$I$34,0))&lt;=10,"Top 10","")</f>
        <v/>
      </c>
      <c r="L118" s="17">
        <f t="shared" si="27"/>
        <v>1314.84</v>
      </c>
      <c r="M118" s="17">
        <f t="shared" si="28"/>
        <v>1183.3599999999999</v>
      </c>
      <c r="N118" s="17">
        <f t="shared" si="29"/>
        <v>408.92</v>
      </c>
      <c r="O118" s="19">
        <f t="shared" si="30"/>
        <v>0.3800016011528301</v>
      </c>
      <c r="P118" s="20">
        <f t="shared" si="31"/>
        <v>45597</v>
      </c>
      <c r="Q118" s="18" t="str">
        <f>IF(J118&gt;='Pivot Table'!$R$4,"High Value","Standard")</f>
        <v>Standard</v>
      </c>
      <c r="R118" s="21">
        <f t="shared" ca="1" si="32"/>
        <v>46304.639624537034</v>
      </c>
      <c r="AD118" s="44">
        <v>56</v>
      </c>
      <c r="AE118" s="39">
        <v>321.41913690065422</v>
      </c>
      <c r="AF118" s="39">
        <v>-64.089136900654182</v>
      </c>
      <c r="AG118" s="45">
        <v>-0.74466687517564012</v>
      </c>
    </row>
    <row r="119" spans="1:33" ht="15.75" customHeight="1" x14ac:dyDescent="0.3">
      <c r="A119" s="11" t="s">
        <v>81</v>
      </c>
      <c r="B119" s="12" t="s">
        <v>46</v>
      </c>
      <c r="C119" s="11" t="s">
        <v>33</v>
      </c>
      <c r="D119" s="11" t="s">
        <v>69</v>
      </c>
      <c r="E119" s="13">
        <v>1014.22</v>
      </c>
      <c r="F119" s="14">
        <v>14</v>
      </c>
      <c r="G119" s="15">
        <v>0.05</v>
      </c>
      <c r="H119" s="16">
        <v>45599</v>
      </c>
      <c r="I119" s="13">
        <v>433.58</v>
      </c>
      <c r="J119" s="17">
        <f t="shared" si="26"/>
        <v>9760.7999999999993</v>
      </c>
      <c r="K119" s="18" t="str">
        <f>IF(INDEX('Pivot Table'!$N$5:$N$34,MATCH(A119,'Pivot Table'!$I$5:$I$34,0))&lt;=10,"Top 10","")</f>
        <v>Top 10</v>
      </c>
      <c r="L119" s="17">
        <f t="shared" si="27"/>
        <v>1067.5999999999999</v>
      </c>
      <c r="M119" s="17">
        <f t="shared" si="28"/>
        <v>960.84</v>
      </c>
      <c r="N119" s="17">
        <f t="shared" si="29"/>
        <v>380.2</v>
      </c>
      <c r="O119" s="19">
        <f t="shared" si="30"/>
        <v>0.42750093668040462</v>
      </c>
      <c r="P119" s="20">
        <f t="shared" si="31"/>
        <v>45597</v>
      </c>
      <c r="Q119" s="18" t="str">
        <f>IF(J119&gt;='Pivot Table'!$R$4,"High Value","Standard")</f>
        <v>High Value</v>
      </c>
      <c r="R119" s="21">
        <f t="shared" ca="1" si="32"/>
        <v>46304.639624537034</v>
      </c>
      <c r="AD119" s="44">
        <v>57</v>
      </c>
      <c r="AE119" s="39">
        <v>340.44254858059372</v>
      </c>
      <c r="AF119" s="39">
        <v>48.857451419406289</v>
      </c>
      <c r="AG119" s="45">
        <v>0.56768631061348485</v>
      </c>
    </row>
    <row r="120" spans="1:33" ht="15.75" customHeight="1" x14ac:dyDescent="0.3">
      <c r="A120" s="11" t="s">
        <v>91</v>
      </c>
      <c r="B120" s="12" t="s">
        <v>85</v>
      </c>
      <c r="C120" s="11" t="s">
        <v>33</v>
      </c>
      <c r="D120" s="11" t="s">
        <v>25</v>
      </c>
      <c r="E120" s="13">
        <v>1010.58</v>
      </c>
      <c r="F120" s="14">
        <v>2</v>
      </c>
      <c r="G120" s="15">
        <v>0.15</v>
      </c>
      <c r="H120" s="16">
        <v>45605</v>
      </c>
      <c r="I120" s="13">
        <v>343.6</v>
      </c>
      <c r="J120" s="17">
        <f t="shared" si="26"/>
        <v>6716.52</v>
      </c>
      <c r="K120" s="18" t="str">
        <f>IF(INDEX('Pivot Table'!$N$5:$N$34,MATCH(A120,'Pivot Table'!$I$5:$I$34,0))&lt;=10,"Top 10","")</f>
        <v/>
      </c>
      <c r="L120" s="17">
        <f t="shared" si="27"/>
        <v>1188.92</v>
      </c>
      <c r="M120" s="17">
        <f t="shared" si="28"/>
        <v>1070.03</v>
      </c>
      <c r="N120" s="17">
        <f t="shared" si="29"/>
        <v>403.05</v>
      </c>
      <c r="O120" s="19">
        <f t="shared" si="30"/>
        <v>0.34000277068614065</v>
      </c>
      <c r="P120" s="20">
        <f t="shared" si="31"/>
        <v>45597</v>
      </c>
      <c r="Q120" s="18" t="str">
        <f>IF(J120&gt;='Pivot Table'!$R$4,"High Value","Standard")</f>
        <v>Standard</v>
      </c>
      <c r="R120" s="21">
        <f t="shared" ca="1" si="32"/>
        <v>46304.639624537034</v>
      </c>
      <c r="AD120" s="44">
        <v>58</v>
      </c>
      <c r="AE120" s="39">
        <v>259.16675891519361</v>
      </c>
      <c r="AF120" s="39">
        <v>-110.8467589151936</v>
      </c>
      <c r="AG120" s="45">
        <v>-1.2879547701301961</v>
      </c>
    </row>
    <row r="121" spans="1:33" ht="15.75" customHeight="1" x14ac:dyDescent="0.3">
      <c r="A121" s="11" t="s">
        <v>58</v>
      </c>
      <c r="B121" s="12" t="s">
        <v>96</v>
      </c>
      <c r="C121" s="11" t="s">
        <v>47</v>
      </c>
      <c r="D121" s="11" t="s">
        <v>52</v>
      </c>
      <c r="E121" s="13">
        <v>957.29</v>
      </c>
      <c r="F121" s="14">
        <v>4</v>
      </c>
      <c r="G121" s="15">
        <v>0.05</v>
      </c>
      <c r="H121" s="16">
        <v>45605</v>
      </c>
      <c r="I121" s="13">
        <v>318.3</v>
      </c>
      <c r="J121" s="17">
        <f t="shared" si="26"/>
        <v>9371.81</v>
      </c>
      <c r="K121" s="18" t="str">
        <f>IF(INDEX('Pivot Table'!$N$5:$N$34,MATCH(A121,'Pivot Table'!$I$5:$I$34,0))&lt;=10,"Top 10","")</f>
        <v>Top 10</v>
      </c>
      <c r="L121" s="17">
        <f t="shared" si="27"/>
        <v>1007.67</v>
      </c>
      <c r="M121" s="17">
        <f t="shared" si="28"/>
        <v>906.9</v>
      </c>
      <c r="N121" s="17">
        <f t="shared" si="29"/>
        <v>267.91000000000003</v>
      </c>
      <c r="O121" s="19">
        <f t="shared" si="30"/>
        <v>0.33250112296169398</v>
      </c>
      <c r="P121" s="20">
        <f t="shared" si="31"/>
        <v>45597</v>
      </c>
      <c r="Q121" s="18" t="str">
        <f>IF(J121&gt;='Pivot Table'!$R$4,"High Value","Standard")</f>
        <v>High Value</v>
      </c>
      <c r="R121" s="21">
        <f t="shared" ca="1" si="32"/>
        <v>46304.639624537034</v>
      </c>
      <c r="AD121" s="44">
        <v>59</v>
      </c>
      <c r="AE121" s="39">
        <v>437.12442468764169</v>
      </c>
      <c r="AF121" s="39">
        <v>12.45557531235829</v>
      </c>
      <c r="AG121" s="45">
        <v>0.14472428238106011</v>
      </c>
    </row>
    <row r="122" spans="1:33" ht="15.75" customHeight="1" x14ac:dyDescent="0.3">
      <c r="A122" s="11" t="s">
        <v>55</v>
      </c>
      <c r="B122" s="12" t="s">
        <v>82</v>
      </c>
      <c r="C122" s="11" t="s">
        <v>47</v>
      </c>
      <c r="D122" s="11" t="s">
        <v>52</v>
      </c>
      <c r="E122" s="13">
        <v>1077.92</v>
      </c>
      <c r="F122" s="14">
        <v>3</v>
      </c>
      <c r="G122" s="15">
        <v>0.05</v>
      </c>
      <c r="H122" s="16">
        <v>45608</v>
      </c>
      <c r="I122" s="13">
        <v>358.41</v>
      </c>
      <c r="J122" s="17">
        <f t="shared" si="26"/>
        <v>6549.55</v>
      </c>
      <c r="K122" s="18" t="str">
        <f>IF(INDEX('Pivot Table'!$N$5:$N$34,MATCH(A122,'Pivot Table'!$I$5:$I$34,0))&lt;=10,"Top 10","")</f>
        <v/>
      </c>
      <c r="L122" s="17">
        <f t="shared" si="27"/>
        <v>1134.6500000000001</v>
      </c>
      <c r="M122" s="17">
        <f t="shared" si="28"/>
        <v>1021.19</v>
      </c>
      <c r="N122" s="17">
        <f t="shared" si="29"/>
        <v>301.68</v>
      </c>
      <c r="O122" s="19">
        <f t="shared" si="30"/>
        <v>0.33250148434021076</v>
      </c>
      <c r="P122" s="20">
        <f t="shared" si="31"/>
        <v>45597</v>
      </c>
      <c r="Q122" s="18" t="str">
        <f>IF(J122&gt;='Pivot Table'!$R$4,"High Value","Standard")</f>
        <v>Standard</v>
      </c>
      <c r="R122" s="21">
        <f t="shared" ca="1" si="32"/>
        <v>46304.639624537034</v>
      </c>
      <c r="AD122" s="44">
        <v>60</v>
      </c>
      <c r="AE122" s="39">
        <v>476.25890161092559</v>
      </c>
      <c r="AF122" s="39">
        <v>203.9210983890743</v>
      </c>
      <c r="AG122" s="45">
        <v>2.3694075854878021</v>
      </c>
    </row>
    <row r="123" spans="1:33" ht="15.75" customHeight="1" x14ac:dyDescent="0.3">
      <c r="A123" s="11" t="s">
        <v>89</v>
      </c>
      <c r="B123" s="12" t="s">
        <v>87</v>
      </c>
      <c r="C123" s="11" t="s">
        <v>41</v>
      </c>
      <c r="D123" s="11" t="s">
        <v>28</v>
      </c>
      <c r="E123" s="13">
        <v>1163.01</v>
      </c>
      <c r="F123" s="14">
        <v>5</v>
      </c>
      <c r="G123" s="15">
        <v>0</v>
      </c>
      <c r="H123" s="16">
        <v>45611</v>
      </c>
      <c r="I123" s="13">
        <v>581.5</v>
      </c>
      <c r="J123" s="17">
        <f t="shared" si="26"/>
        <v>10293.870000000001</v>
      </c>
      <c r="K123" s="18" t="str">
        <f>IF(INDEX('Pivot Table'!$N$5:$N$34,MATCH(A123,'Pivot Table'!$I$5:$I$34,0))&lt;=10,"Top 10","")</f>
        <v>Top 10</v>
      </c>
      <c r="L123" s="17">
        <f t="shared" si="27"/>
        <v>1163.01</v>
      </c>
      <c r="M123" s="17">
        <f t="shared" si="28"/>
        <v>1046.71</v>
      </c>
      <c r="N123" s="17">
        <f t="shared" si="29"/>
        <v>465.2</v>
      </c>
      <c r="O123" s="19">
        <f t="shared" si="30"/>
        <v>0.49999570081082706</v>
      </c>
      <c r="P123" s="20">
        <f t="shared" si="31"/>
        <v>45597</v>
      </c>
      <c r="Q123" s="18" t="str">
        <f>IF(J123&gt;='Pivot Table'!$R$4,"High Value","Standard")</f>
        <v>High Value</v>
      </c>
      <c r="R123" s="21">
        <f t="shared" ca="1" si="32"/>
        <v>46304.639624537034</v>
      </c>
      <c r="AD123" s="44">
        <v>61</v>
      </c>
      <c r="AE123" s="39">
        <v>484.30753798012182</v>
      </c>
      <c r="AF123" s="39">
        <v>13.682462019878241</v>
      </c>
      <c r="AG123" s="45">
        <v>0.15897976989214391</v>
      </c>
    </row>
    <row r="124" spans="1:33" ht="15.75" customHeight="1" x14ac:dyDescent="0.3">
      <c r="A124" s="11" t="s">
        <v>91</v>
      </c>
      <c r="B124" s="12" t="s">
        <v>82</v>
      </c>
      <c r="C124" s="11" t="s">
        <v>33</v>
      </c>
      <c r="D124" s="11" t="s">
        <v>69</v>
      </c>
      <c r="E124" s="13">
        <v>1014.56</v>
      </c>
      <c r="F124" s="14">
        <v>10</v>
      </c>
      <c r="G124" s="15">
        <v>0.1</v>
      </c>
      <c r="H124" s="16">
        <v>45612</v>
      </c>
      <c r="I124" s="13">
        <v>410.9</v>
      </c>
      <c r="J124" s="17">
        <f t="shared" si="26"/>
        <v>6716.52</v>
      </c>
      <c r="K124" s="18" t="str">
        <f>IF(INDEX('Pivot Table'!$N$5:$N$34,MATCH(A124,'Pivot Table'!$I$5:$I$34,0))&lt;=10,"Top 10","")</f>
        <v/>
      </c>
      <c r="L124" s="17">
        <f t="shared" si="27"/>
        <v>1127.29</v>
      </c>
      <c r="M124" s="17">
        <f t="shared" si="28"/>
        <v>1014.56</v>
      </c>
      <c r="N124" s="17">
        <f t="shared" si="29"/>
        <v>410.9</v>
      </c>
      <c r="O124" s="19">
        <f t="shared" si="30"/>
        <v>0.40500315407664406</v>
      </c>
      <c r="P124" s="20">
        <f t="shared" si="31"/>
        <v>45597</v>
      </c>
      <c r="Q124" s="18" t="str">
        <f>IF(J124&gt;='Pivot Table'!$R$4,"High Value","Standard")</f>
        <v>Standard</v>
      </c>
      <c r="R124" s="21">
        <f t="shared" ca="1" si="32"/>
        <v>46304.639624537034</v>
      </c>
      <c r="AD124" s="44">
        <v>62</v>
      </c>
      <c r="AE124" s="39">
        <v>170.5335191773417</v>
      </c>
      <c r="AF124" s="39">
        <v>49.516480822658309</v>
      </c>
      <c r="AG124" s="45">
        <v>0.57534372948509926</v>
      </c>
    </row>
    <row r="125" spans="1:33" ht="15.75" customHeight="1" x14ac:dyDescent="0.3">
      <c r="A125" s="11" t="s">
        <v>22</v>
      </c>
      <c r="B125" s="12" t="s">
        <v>32</v>
      </c>
      <c r="C125" s="11" t="s">
        <v>41</v>
      </c>
      <c r="D125" s="11" t="s">
        <v>42</v>
      </c>
      <c r="E125" s="13">
        <v>718.04</v>
      </c>
      <c r="F125" s="14">
        <v>14</v>
      </c>
      <c r="G125" s="15">
        <v>0</v>
      </c>
      <c r="H125" s="16">
        <v>45613</v>
      </c>
      <c r="I125" s="13">
        <v>179.51</v>
      </c>
      <c r="J125" s="17">
        <f t="shared" si="26"/>
        <v>4640.1099999999997</v>
      </c>
      <c r="K125" s="18" t="str">
        <f>IF(INDEX('Pivot Table'!$N$5:$N$34,MATCH(A125,'Pivot Table'!$I$5:$I$34,0))&lt;=10,"Top 10","")</f>
        <v/>
      </c>
      <c r="L125" s="17">
        <f t="shared" si="27"/>
        <v>718.04</v>
      </c>
      <c r="M125" s="17">
        <f t="shared" si="28"/>
        <v>646.24</v>
      </c>
      <c r="N125" s="17">
        <f t="shared" si="29"/>
        <v>107.71</v>
      </c>
      <c r="O125" s="19">
        <f t="shared" si="30"/>
        <v>0.25</v>
      </c>
      <c r="P125" s="20">
        <f t="shared" si="31"/>
        <v>45597</v>
      </c>
      <c r="Q125" s="18" t="str">
        <f>IF(J125&gt;='Pivot Table'!$R$4,"High Value","Standard")</f>
        <v>Standard</v>
      </c>
      <c r="R125" s="21">
        <f t="shared" ca="1" si="32"/>
        <v>46304.639624537034</v>
      </c>
      <c r="AD125" s="44">
        <v>63</v>
      </c>
      <c r="AE125" s="39">
        <v>326.56619424747657</v>
      </c>
      <c r="AF125" s="39">
        <v>-32.446194247476633</v>
      </c>
      <c r="AG125" s="45">
        <v>-0.37700002293779722</v>
      </c>
    </row>
    <row r="126" spans="1:33" ht="15.75" customHeight="1" x14ac:dyDescent="0.3">
      <c r="A126" s="11" t="s">
        <v>153</v>
      </c>
      <c r="B126" s="12" t="s">
        <v>32</v>
      </c>
      <c r="C126" s="11" t="s">
        <v>63</v>
      </c>
      <c r="D126" s="11" t="s">
        <v>28</v>
      </c>
      <c r="E126" s="13">
        <v>1277.8499999999999</v>
      </c>
      <c r="F126" s="14">
        <v>18</v>
      </c>
      <c r="G126" s="15">
        <v>0.2</v>
      </c>
      <c r="H126" s="16">
        <v>45613</v>
      </c>
      <c r="I126" s="13">
        <v>511.14</v>
      </c>
      <c r="J126" s="17">
        <f t="shared" si="26"/>
        <v>7813.59</v>
      </c>
      <c r="K126" s="18" t="str">
        <f>IF(INDEX('Pivot Table'!$N$5:$N$34,MATCH(A126,'Pivot Table'!$I$5:$I$34,0))&lt;=10,"Top 10","")</f>
        <v>Top 10</v>
      </c>
      <c r="L126" s="17">
        <f t="shared" si="27"/>
        <v>1597.31</v>
      </c>
      <c r="M126" s="17">
        <f t="shared" si="28"/>
        <v>1437.58</v>
      </c>
      <c r="N126" s="17">
        <f t="shared" si="29"/>
        <v>670.87</v>
      </c>
      <c r="O126" s="19">
        <f t="shared" si="30"/>
        <v>0.4</v>
      </c>
      <c r="P126" s="20">
        <f t="shared" si="31"/>
        <v>45597</v>
      </c>
      <c r="Q126" s="18" t="str">
        <f>IF(J126&gt;='Pivot Table'!$R$4,"High Value","Standard")</f>
        <v>Standard</v>
      </c>
      <c r="R126" s="21">
        <f t="shared" ca="1" si="32"/>
        <v>46304.639624537034</v>
      </c>
      <c r="AD126" s="44">
        <v>64</v>
      </c>
      <c r="AE126" s="39">
        <v>351.76467131965029</v>
      </c>
      <c r="AF126" s="39">
        <v>-150.6546713196503</v>
      </c>
      <c r="AG126" s="45">
        <v>-1.7504923415667339</v>
      </c>
    </row>
    <row r="127" spans="1:33" ht="15.75" customHeight="1" x14ac:dyDescent="0.3">
      <c r="A127" s="11" t="s">
        <v>143</v>
      </c>
      <c r="B127" s="12" t="s">
        <v>46</v>
      </c>
      <c r="C127" s="11" t="s">
        <v>47</v>
      </c>
      <c r="D127" s="11" t="s">
        <v>42</v>
      </c>
      <c r="E127" s="13">
        <v>706.73</v>
      </c>
      <c r="F127" s="14">
        <v>1</v>
      </c>
      <c r="G127" s="15">
        <v>0.15</v>
      </c>
      <c r="H127" s="16">
        <v>45613</v>
      </c>
      <c r="I127" s="13">
        <v>150.18</v>
      </c>
      <c r="J127" s="17">
        <f t="shared" si="26"/>
        <v>7583.1299999999992</v>
      </c>
      <c r="K127" s="18" t="str">
        <f>IF(INDEX('Pivot Table'!$N$5:$N$34,MATCH(A127,'Pivot Table'!$I$5:$I$34,0))&lt;=10,"Top 10","")</f>
        <v/>
      </c>
      <c r="L127" s="17">
        <f t="shared" si="27"/>
        <v>831.45</v>
      </c>
      <c r="M127" s="17">
        <f t="shared" si="28"/>
        <v>748.31</v>
      </c>
      <c r="N127" s="17">
        <f t="shared" si="29"/>
        <v>191.76</v>
      </c>
      <c r="O127" s="19">
        <f t="shared" si="30"/>
        <v>0.21249982312905918</v>
      </c>
      <c r="P127" s="20">
        <f t="shared" si="31"/>
        <v>45597</v>
      </c>
      <c r="Q127" s="18" t="str">
        <f>IF(J127&gt;='Pivot Table'!$R$4,"High Value","Standard")</f>
        <v>Standard</v>
      </c>
      <c r="R127" s="21">
        <f t="shared" ca="1" si="32"/>
        <v>46304.639624537034</v>
      </c>
      <c r="AD127" s="44">
        <v>65</v>
      </c>
      <c r="AE127" s="39">
        <v>384.94512212326299</v>
      </c>
      <c r="AF127" s="39">
        <v>-123.67512212326309</v>
      </c>
      <c r="AG127" s="45">
        <v>-1.437010563447858</v>
      </c>
    </row>
    <row r="128" spans="1:33" ht="15.75" customHeight="1" x14ac:dyDescent="0.3">
      <c r="A128" s="11" t="s">
        <v>114</v>
      </c>
      <c r="B128" s="12" t="s">
        <v>87</v>
      </c>
      <c r="C128" s="11" t="s">
        <v>33</v>
      </c>
      <c r="D128" s="11" t="s">
        <v>42</v>
      </c>
      <c r="E128" s="13">
        <v>1410.59</v>
      </c>
      <c r="F128" s="14">
        <v>15</v>
      </c>
      <c r="G128" s="15">
        <v>0</v>
      </c>
      <c r="H128" s="16">
        <v>45615</v>
      </c>
      <c r="I128" s="13">
        <v>352.65</v>
      </c>
      <c r="J128" s="17">
        <f t="shared" si="26"/>
        <v>6481.43</v>
      </c>
      <c r="K128" s="18" t="str">
        <f>IF(INDEX('Pivot Table'!$N$5:$N$34,MATCH(A128,'Pivot Table'!$I$5:$I$34,0))&lt;=10,"Top 10","")</f>
        <v/>
      </c>
      <c r="L128" s="17">
        <f t="shared" si="27"/>
        <v>1410.59</v>
      </c>
      <c r="M128" s="17">
        <f t="shared" si="28"/>
        <v>1269.53</v>
      </c>
      <c r="N128" s="17">
        <f t="shared" si="29"/>
        <v>211.59</v>
      </c>
      <c r="O128" s="19">
        <f t="shared" si="30"/>
        <v>0.25000177230804133</v>
      </c>
      <c r="P128" s="20">
        <f t="shared" si="31"/>
        <v>45597</v>
      </c>
      <c r="Q128" s="18" t="str">
        <f>IF(J128&gt;='Pivot Table'!$R$4,"High Value","Standard")</f>
        <v>Standard</v>
      </c>
      <c r="R128" s="21">
        <f t="shared" ca="1" si="32"/>
        <v>46304.639624537034</v>
      </c>
      <c r="AD128" s="44">
        <v>66</v>
      </c>
      <c r="AE128" s="39">
        <v>361.99914049530207</v>
      </c>
      <c r="AF128" s="39">
        <v>-54.179140495302079</v>
      </c>
      <c r="AG128" s="45">
        <v>-0.62952027759211038</v>
      </c>
    </row>
    <row r="129" spans="1:33" ht="15.75" customHeight="1" x14ac:dyDescent="0.3">
      <c r="A129" s="11" t="s">
        <v>61</v>
      </c>
      <c r="B129" s="12" t="s">
        <v>98</v>
      </c>
      <c r="C129" s="11" t="s">
        <v>41</v>
      </c>
      <c r="D129" s="11" t="s">
        <v>52</v>
      </c>
      <c r="E129" s="13">
        <v>1350.33</v>
      </c>
      <c r="F129" s="14">
        <v>10</v>
      </c>
      <c r="G129" s="15">
        <v>0</v>
      </c>
      <c r="H129" s="16">
        <v>45615</v>
      </c>
      <c r="I129" s="13">
        <v>472.62</v>
      </c>
      <c r="J129" s="17">
        <f t="shared" si="26"/>
        <v>6505.2</v>
      </c>
      <c r="K129" s="18" t="str">
        <f>IF(INDEX('Pivot Table'!$N$5:$N$34,MATCH(A129,'Pivot Table'!$I$5:$I$34,0))&lt;=10,"Top 10","")</f>
        <v/>
      </c>
      <c r="L129" s="17">
        <f t="shared" si="27"/>
        <v>1350.33</v>
      </c>
      <c r="M129" s="17">
        <f t="shared" si="28"/>
        <v>1215.3</v>
      </c>
      <c r="N129" s="17">
        <f t="shared" si="29"/>
        <v>337.59</v>
      </c>
      <c r="O129" s="19">
        <f t="shared" si="30"/>
        <v>0.35000333251871768</v>
      </c>
      <c r="P129" s="20">
        <f t="shared" si="31"/>
        <v>45597</v>
      </c>
      <c r="Q129" s="18" t="str">
        <f>IF(J129&gt;='Pivot Table'!$R$4,"High Value","Standard")</f>
        <v>Standard</v>
      </c>
      <c r="R129" s="21">
        <f t="shared" ca="1" si="32"/>
        <v>46304.639624537034</v>
      </c>
      <c r="AD129" s="44">
        <v>67</v>
      </c>
      <c r="AE129" s="39">
        <v>306.47267180354203</v>
      </c>
      <c r="AF129" s="39">
        <v>26.577328196458041</v>
      </c>
      <c r="AG129" s="45">
        <v>0.30880827696669799</v>
      </c>
    </row>
    <row r="130" spans="1:33" ht="15.75" customHeight="1" x14ac:dyDescent="0.3">
      <c r="A130" s="11" t="s">
        <v>78</v>
      </c>
      <c r="B130" s="12" t="s">
        <v>82</v>
      </c>
      <c r="C130" s="11" t="s">
        <v>33</v>
      </c>
      <c r="D130" s="11" t="s">
        <v>42</v>
      </c>
      <c r="E130" s="13">
        <v>919.18</v>
      </c>
      <c r="F130" s="14">
        <v>4</v>
      </c>
      <c r="G130" s="15">
        <v>0.15</v>
      </c>
      <c r="H130" s="16">
        <v>45615</v>
      </c>
      <c r="I130" s="13">
        <v>195.33</v>
      </c>
      <c r="J130" s="17">
        <f t="shared" ref="J130:J161" si="33">SUMIFS($E$2:$E$201,$A$2:$A$201,A130)</f>
        <v>5779.05</v>
      </c>
      <c r="K130" s="18" t="str">
        <f>IF(INDEX('Pivot Table'!$N$5:$N$34,MATCH(A130,'Pivot Table'!$I$5:$I$34,0))&lt;=10,"Top 10","")</f>
        <v/>
      </c>
      <c r="L130" s="17">
        <f t="shared" ref="L130:L161" si="34">ROUND(E130/(1-G130),2)</f>
        <v>1081.3900000000001</v>
      </c>
      <c r="M130" s="17">
        <f t="shared" ref="M130:M161" si="35">ROUND(L130*(1-$U$3),2)</f>
        <v>973.25</v>
      </c>
      <c r="N130" s="17">
        <f t="shared" ref="N130:N161" si="36">ROUND(M130-(E130-I130),2)</f>
        <v>249.4</v>
      </c>
      <c r="O130" s="19">
        <f t="shared" ref="O130:O161" si="37">I130/E130</f>
        <v>0.21250462368632914</v>
      </c>
      <c r="P130" s="20">
        <f t="shared" ref="P130:P161" si="38">DATE(YEAR(H130),MONTH(H130),1)</f>
        <v>45597</v>
      </c>
      <c r="Q130" s="18" t="str">
        <f>IF(J130&gt;='Pivot Table'!$R$4,"High Value","Standard")</f>
        <v>Standard</v>
      </c>
      <c r="R130" s="21">
        <f t="shared" ref="R130:R161" ca="1" si="39">NOW()</f>
        <v>46304.639624537034</v>
      </c>
      <c r="AD130" s="44">
        <v>68</v>
      </c>
      <c r="AE130" s="39">
        <v>480.11130036130811</v>
      </c>
      <c r="AF130" s="39">
        <v>-24.14130036130803</v>
      </c>
      <c r="AG130" s="45">
        <v>-0.28050349204419228</v>
      </c>
    </row>
    <row r="131" spans="1:33" ht="15.75" customHeight="1" x14ac:dyDescent="0.3">
      <c r="A131" s="11" t="s">
        <v>162</v>
      </c>
      <c r="B131" s="12" t="s">
        <v>46</v>
      </c>
      <c r="C131" s="11" t="s">
        <v>24</v>
      </c>
      <c r="D131" s="11" t="s">
        <v>42</v>
      </c>
      <c r="E131" s="13">
        <v>258.51</v>
      </c>
      <c r="F131" s="14">
        <v>19</v>
      </c>
      <c r="G131" s="15">
        <v>0</v>
      </c>
      <c r="H131" s="16">
        <v>45616</v>
      </c>
      <c r="I131" s="13">
        <v>64.63</v>
      </c>
      <c r="J131" s="17">
        <f t="shared" si="33"/>
        <v>3906.04</v>
      </c>
      <c r="K131" s="18" t="str">
        <f>IF(INDEX('Pivot Table'!$N$5:$N$34,MATCH(A131,'Pivot Table'!$I$5:$I$34,0))&lt;=10,"Top 10","")</f>
        <v/>
      </c>
      <c r="L131" s="17">
        <f t="shared" si="34"/>
        <v>258.51</v>
      </c>
      <c r="M131" s="17">
        <f t="shared" si="35"/>
        <v>232.66</v>
      </c>
      <c r="N131" s="17">
        <f t="shared" si="36"/>
        <v>38.78</v>
      </c>
      <c r="O131" s="19">
        <f t="shared" si="37"/>
        <v>0.25000967080577152</v>
      </c>
      <c r="P131" s="20">
        <f t="shared" si="38"/>
        <v>45597</v>
      </c>
      <c r="Q131" s="18" t="str">
        <f>IF(J131&gt;='Pivot Table'!$R$4,"High Value","Standard")</f>
        <v>Standard</v>
      </c>
      <c r="R131" s="21">
        <f t="shared" ca="1" si="39"/>
        <v>46304.639624537034</v>
      </c>
      <c r="AD131" s="44">
        <v>69</v>
      </c>
      <c r="AE131" s="39">
        <v>356.93278002576449</v>
      </c>
      <c r="AF131" s="39">
        <v>-114.6227800257645</v>
      </c>
      <c r="AG131" s="45">
        <v>-1.331829254590251</v>
      </c>
    </row>
    <row r="132" spans="1:33" ht="15.75" customHeight="1" x14ac:dyDescent="0.3">
      <c r="A132" s="11" t="s">
        <v>106</v>
      </c>
      <c r="B132" s="12" t="s">
        <v>98</v>
      </c>
      <c r="C132" s="11" t="s">
        <v>33</v>
      </c>
      <c r="D132" s="11" t="s">
        <v>25</v>
      </c>
      <c r="E132" s="13">
        <v>1213.48</v>
      </c>
      <c r="F132" s="14">
        <v>5</v>
      </c>
      <c r="G132" s="15">
        <v>0.05</v>
      </c>
      <c r="H132" s="16">
        <v>45616</v>
      </c>
      <c r="I132" s="13">
        <v>461.12</v>
      </c>
      <c r="J132" s="17">
        <f t="shared" si="33"/>
        <v>3762.2900000000004</v>
      </c>
      <c r="K132" s="18" t="str">
        <f>IF(INDEX('Pivot Table'!$N$5:$N$34,MATCH(A132,'Pivot Table'!$I$5:$I$34,0))&lt;=10,"Top 10","")</f>
        <v/>
      </c>
      <c r="L132" s="17">
        <f t="shared" si="34"/>
        <v>1277.3499999999999</v>
      </c>
      <c r="M132" s="17">
        <f t="shared" si="35"/>
        <v>1149.6199999999999</v>
      </c>
      <c r="N132" s="17">
        <f t="shared" si="36"/>
        <v>397.26</v>
      </c>
      <c r="O132" s="19">
        <f t="shared" si="37"/>
        <v>0.37999802221709461</v>
      </c>
      <c r="P132" s="20">
        <f t="shared" si="38"/>
        <v>45597</v>
      </c>
      <c r="Q132" s="18" t="str">
        <f>IF(J132&gt;='Pivot Table'!$R$4,"High Value","Standard")</f>
        <v>Standard</v>
      </c>
      <c r="R132" s="21">
        <f t="shared" ca="1" si="39"/>
        <v>46304.639624537034</v>
      </c>
      <c r="AD132" s="44">
        <v>70</v>
      </c>
      <c r="AE132" s="39">
        <v>281.34085736912527</v>
      </c>
      <c r="AF132" s="39">
        <v>62.719142630874728</v>
      </c>
      <c r="AG132" s="45">
        <v>0.72874858697234268</v>
      </c>
    </row>
    <row r="133" spans="1:33" ht="15.75" customHeight="1" x14ac:dyDescent="0.3">
      <c r="A133" s="11" t="s">
        <v>94</v>
      </c>
      <c r="B133" s="12" t="s">
        <v>68</v>
      </c>
      <c r="C133" s="11" t="s">
        <v>63</v>
      </c>
      <c r="D133" s="11" t="s">
        <v>25</v>
      </c>
      <c r="E133" s="13">
        <v>1150.28</v>
      </c>
      <c r="F133" s="14">
        <v>8</v>
      </c>
      <c r="G133" s="15">
        <v>0.05</v>
      </c>
      <c r="H133" s="16">
        <v>45622</v>
      </c>
      <c r="I133" s="13">
        <v>437.11</v>
      </c>
      <c r="J133" s="17">
        <f t="shared" si="33"/>
        <v>8740.18</v>
      </c>
      <c r="K133" s="18" t="str">
        <f>IF(INDEX('Pivot Table'!$N$5:$N$34,MATCH(A133,'Pivot Table'!$I$5:$I$34,0))&lt;=10,"Top 10","")</f>
        <v>Top 10</v>
      </c>
      <c r="L133" s="17">
        <f t="shared" si="34"/>
        <v>1210.82</v>
      </c>
      <c r="M133" s="17">
        <f t="shared" si="35"/>
        <v>1089.74</v>
      </c>
      <c r="N133" s="17">
        <f t="shared" si="36"/>
        <v>376.57</v>
      </c>
      <c r="O133" s="19">
        <f t="shared" si="37"/>
        <v>0.38000312967277533</v>
      </c>
      <c r="P133" s="20">
        <f t="shared" si="38"/>
        <v>45597</v>
      </c>
      <c r="Q133" s="18" t="str">
        <f>IF(J133&gt;='Pivot Table'!$R$4,"High Value","Standard")</f>
        <v>High Value</v>
      </c>
      <c r="R133" s="21">
        <f t="shared" ca="1" si="39"/>
        <v>46304.639624537034</v>
      </c>
      <c r="AD133" s="44">
        <v>71</v>
      </c>
      <c r="AE133" s="39">
        <v>212.520455284652</v>
      </c>
      <c r="AF133" s="39">
        <v>-67.960455284651999</v>
      </c>
      <c r="AG133" s="45">
        <v>-0.789648641247641</v>
      </c>
    </row>
    <row r="134" spans="1:33" ht="15.75" customHeight="1" x14ac:dyDescent="0.3">
      <c r="A134" s="11" t="s">
        <v>67</v>
      </c>
      <c r="B134" s="12" t="s">
        <v>144</v>
      </c>
      <c r="C134" s="11" t="s">
        <v>41</v>
      </c>
      <c r="D134" s="11" t="s">
        <v>52</v>
      </c>
      <c r="E134" s="13">
        <v>853.86</v>
      </c>
      <c r="F134" s="14">
        <v>8</v>
      </c>
      <c r="G134" s="15">
        <v>0.1</v>
      </c>
      <c r="H134" s="16">
        <v>45622</v>
      </c>
      <c r="I134" s="13">
        <v>268.97000000000003</v>
      </c>
      <c r="J134" s="17">
        <f t="shared" si="33"/>
        <v>6729.8899999999994</v>
      </c>
      <c r="K134" s="18" t="str">
        <f>IF(INDEX('Pivot Table'!$N$5:$N$34,MATCH(A134,'Pivot Table'!$I$5:$I$34,0))&lt;=10,"Top 10","")</f>
        <v/>
      </c>
      <c r="L134" s="17">
        <f t="shared" si="34"/>
        <v>948.73</v>
      </c>
      <c r="M134" s="17">
        <f t="shared" si="35"/>
        <v>853.86</v>
      </c>
      <c r="N134" s="17">
        <f t="shared" si="36"/>
        <v>268.97000000000003</v>
      </c>
      <c r="O134" s="19">
        <f t="shared" si="37"/>
        <v>0.31500480172393602</v>
      </c>
      <c r="P134" s="20">
        <f t="shared" si="38"/>
        <v>45597</v>
      </c>
      <c r="Q134" s="18" t="str">
        <f>IF(J134&gt;='Pivot Table'!$R$4,"High Value","Standard")</f>
        <v>Standard</v>
      </c>
      <c r="R134" s="21">
        <f t="shared" ca="1" si="39"/>
        <v>46304.639624537034</v>
      </c>
      <c r="AD134" s="44">
        <v>72</v>
      </c>
      <c r="AE134" s="39">
        <v>343.22834512686302</v>
      </c>
      <c r="AF134" s="39">
        <v>98.311654873137002</v>
      </c>
      <c r="AG134" s="45">
        <v>1.142306424585001</v>
      </c>
    </row>
    <row r="135" spans="1:33" ht="15.75" customHeight="1" x14ac:dyDescent="0.3">
      <c r="A135" s="11" t="s">
        <v>163</v>
      </c>
      <c r="B135" s="12" t="s">
        <v>82</v>
      </c>
      <c r="C135" s="11" t="s">
        <v>41</v>
      </c>
      <c r="D135" s="11" t="s">
        <v>42</v>
      </c>
      <c r="E135" s="13">
        <v>1061.04</v>
      </c>
      <c r="F135" s="14">
        <v>1</v>
      </c>
      <c r="G135" s="15">
        <v>0</v>
      </c>
      <c r="H135" s="16">
        <v>45624</v>
      </c>
      <c r="I135" s="13">
        <v>265.26</v>
      </c>
      <c r="J135" s="17">
        <f t="shared" si="33"/>
        <v>4951.8899999999994</v>
      </c>
      <c r="K135" s="18" t="str">
        <f>IF(INDEX('Pivot Table'!$N$5:$N$34,MATCH(A135,'Pivot Table'!$I$5:$I$34,0))&lt;=10,"Top 10","")</f>
        <v/>
      </c>
      <c r="L135" s="17">
        <f t="shared" si="34"/>
        <v>1061.04</v>
      </c>
      <c r="M135" s="17">
        <f t="shared" si="35"/>
        <v>954.94</v>
      </c>
      <c r="N135" s="17">
        <f t="shared" si="36"/>
        <v>159.16</v>
      </c>
      <c r="O135" s="19">
        <f t="shared" si="37"/>
        <v>0.25</v>
      </c>
      <c r="P135" s="20">
        <f t="shared" si="38"/>
        <v>45597</v>
      </c>
      <c r="Q135" s="18" t="str">
        <f>IF(J135&gt;='Pivot Table'!$R$4,"High Value","Standard")</f>
        <v>Standard</v>
      </c>
      <c r="R135" s="21">
        <f t="shared" ca="1" si="39"/>
        <v>46304.639624537034</v>
      </c>
      <c r="AD135" s="44">
        <v>73</v>
      </c>
      <c r="AE135" s="39">
        <v>188.34998625789001</v>
      </c>
      <c r="AF135" s="39">
        <v>-73.649986257890006</v>
      </c>
      <c r="AG135" s="45">
        <v>-0.85575665043527782</v>
      </c>
    </row>
    <row r="136" spans="1:33" ht="15.75" customHeight="1" x14ac:dyDescent="0.3">
      <c r="A136" s="11" t="s">
        <v>55</v>
      </c>
      <c r="B136" s="12" t="s">
        <v>80</v>
      </c>
      <c r="C136" s="11" t="s">
        <v>24</v>
      </c>
      <c r="D136" s="11" t="s">
        <v>42</v>
      </c>
      <c r="E136" s="13">
        <v>894.55</v>
      </c>
      <c r="F136" s="14">
        <v>19</v>
      </c>
      <c r="G136" s="15">
        <v>0.2</v>
      </c>
      <c r="H136" s="16">
        <v>45625</v>
      </c>
      <c r="I136" s="13">
        <v>178.91</v>
      </c>
      <c r="J136" s="17">
        <f t="shared" si="33"/>
        <v>6549.55</v>
      </c>
      <c r="K136" s="18" t="str">
        <f>IF(INDEX('Pivot Table'!$N$5:$N$34,MATCH(A136,'Pivot Table'!$I$5:$I$34,0))&lt;=10,"Top 10","")</f>
        <v/>
      </c>
      <c r="L136" s="17">
        <f t="shared" si="34"/>
        <v>1118.19</v>
      </c>
      <c r="M136" s="17">
        <f t="shared" si="35"/>
        <v>1006.37</v>
      </c>
      <c r="N136" s="17">
        <f t="shared" si="36"/>
        <v>290.73</v>
      </c>
      <c r="O136" s="19">
        <f t="shared" si="37"/>
        <v>0.2</v>
      </c>
      <c r="P136" s="20">
        <f t="shared" si="38"/>
        <v>45597</v>
      </c>
      <c r="Q136" s="18" t="str">
        <f>IF(J136&gt;='Pivot Table'!$R$4,"High Value","Standard")</f>
        <v>Standard</v>
      </c>
      <c r="R136" s="21">
        <f t="shared" ca="1" si="39"/>
        <v>46304.639624537034</v>
      </c>
      <c r="AD136" s="44">
        <v>74</v>
      </c>
      <c r="AE136" s="39">
        <v>281.21454921337511</v>
      </c>
      <c r="AF136" s="39">
        <v>-23.794549213375031</v>
      </c>
      <c r="AG136" s="45">
        <v>-0.27647450825252268</v>
      </c>
    </row>
    <row r="137" spans="1:33" ht="15.75" customHeight="1" x14ac:dyDescent="0.3">
      <c r="A137" s="11" t="s">
        <v>50</v>
      </c>
      <c r="B137" s="12" t="s">
        <v>68</v>
      </c>
      <c r="C137" s="11" t="s">
        <v>47</v>
      </c>
      <c r="D137" s="11" t="s">
        <v>69</v>
      </c>
      <c r="E137" s="13">
        <v>833.91</v>
      </c>
      <c r="F137" s="14">
        <v>3</v>
      </c>
      <c r="G137" s="15">
        <v>0.05</v>
      </c>
      <c r="H137" s="16">
        <v>45626</v>
      </c>
      <c r="I137" s="13">
        <v>356.5</v>
      </c>
      <c r="J137" s="17">
        <f t="shared" si="33"/>
        <v>9941.8799999999992</v>
      </c>
      <c r="K137" s="18" t="str">
        <f>IF(INDEX('Pivot Table'!$N$5:$N$34,MATCH(A137,'Pivot Table'!$I$5:$I$34,0))&lt;=10,"Top 10","")</f>
        <v>Top 10</v>
      </c>
      <c r="L137" s="17">
        <f t="shared" si="34"/>
        <v>877.8</v>
      </c>
      <c r="M137" s="17">
        <f t="shared" si="35"/>
        <v>790.02</v>
      </c>
      <c r="N137" s="17">
        <f t="shared" si="36"/>
        <v>312.61</v>
      </c>
      <c r="O137" s="19">
        <f t="shared" si="37"/>
        <v>0.42750416711635547</v>
      </c>
      <c r="P137" s="20">
        <f t="shared" si="38"/>
        <v>45597</v>
      </c>
      <c r="Q137" s="18" t="str">
        <f>IF(J137&gt;='Pivot Table'!$R$4,"High Value","Standard")</f>
        <v>High Value</v>
      </c>
      <c r="R137" s="21">
        <f t="shared" ca="1" si="39"/>
        <v>46304.639624537034</v>
      </c>
      <c r="AD137" s="44">
        <v>75</v>
      </c>
      <c r="AE137" s="39">
        <v>534.58520108848279</v>
      </c>
      <c r="AF137" s="39">
        <v>-229.2652010884828</v>
      </c>
      <c r="AG137" s="45">
        <v>-2.663886723045144</v>
      </c>
    </row>
    <row r="138" spans="1:33" ht="15.75" customHeight="1" x14ac:dyDescent="0.3">
      <c r="A138" s="11" t="s">
        <v>95</v>
      </c>
      <c r="B138" s="12" t="s">
        <v>144</v>
      </c>
      <c r="C138" s="11" t="s">
        <v>24</v>
      </c>
      <c r="D138" s="11" t="s">
        <v>52</v>
      </c>
      <c r="E138" s="13">
        <v>820.19</v>
      </c>
      <c r="F138" s="14">
        <v>4</v>
      </c>
      <c r="G138" s="15">
        <v>0.2</v>
      </c>
      <c r="H138" s="16">
        <v>45630</v>
      </c>
      <c r="I138" s="13">
        <v>229.65</v>
      </c>
      <c r="J138" s="17">
        <f t="shared" si="33"/>
        <v>11611.060000000001</v>
      </c>
      <c r="K138" s="18" t="str">
        <f>IF(INDEX('Pivot Table'!$N$5:$N$34,MATCH(A138,'Pivot Table'!$I$5:$I$34,0))&lt;=10,"Top 10","")</f>
        <v>Top 10</v>
      </c>
      <c r="L138" s="17">
        <f t="shared" si="34"/>
        <v>1025.24</v>
      </c>
      <c r="M138" s="17">
        <f t="shared" si="35"/>
        <v>922.72</v>
      </c>
      <c r="N138" s="17">
        <f t="shared" si="36"/>
        <v>332.18</v>
      </c>
      <c r="O138" s="19">
        <f t="shared" si="37"/>
        <v>0.2799960984649898</v>
      </c>
      <c r="P138" s="20">
        <f t="shared" si="38"/>
        <v>45627</v>
      </c>
      <c r="Q138" s="18" t="str">
        <f>IF(J138&gt;='Pivot Table'!$R$4,"High Value","Standard")</f>
        <v>High Value</v>
      </c>
      <c r="R138" s="21">
        <f t="shared" ca="1" si="39"/>
        <v>46304.639624537034</v>
      </c>
      <c r="AD138" s="44">
        <v>76</v>
      </c>
      <c r="AE138" s="39">
        <v>425.34969772381339</v>
      </c>
      <c r="AF138" s="39">
        <v>-167.10969772381341</v>
      </c>
      <c r="AG138" s="45">
        <v>-1.941687194328056</v>
      </c>
    </row>
    <row r="139" spans="1:33" ht="15.75" customHeight="1" x14ac:dyDescent="0.3">
      <c r="A139" s="11" t="s">
        <v>95</v>
      </c>
      <c r="B139" s="12" t="s">
        <v>68</v>
      </c>
      <c r="C139" s="11" t="s">
        <v>63</v>
      </c>
      <c r="D139" s="11" t="s">
        <v>42</v>
      </c>
      <c r="E139" s="13">
        <v>511.74</v>
      </c>
      <c r="F139" s="14">
        <v>8</v>
      </c>
      <c r="G139" s="15">
        <v>0.05</v>
      </c>
      <c r="H139" s="16">
        <v>45631</v>
      </c>
      <c r="I139" s="13">
        <v>121.54</v>
      </c>
      <c r="J139" s="17">
        <f t="shared" si="33"/>
        <v>11611.060000000001</v>
      </c>
      <c r="K139" s="18" t="str">
        <f>IF(INDEX('Pivot Table'!$N$5:$N$34,MATCH(A139,'Pivot Table'!$I$5:$I$34,0))&lt;=10,"Top 10","")</f>
        <v>Top 10</v>
      </c>
      <c r="L139" s="17">
        <f t="shared" si="34"/>
        <v>538.66999999999996</v>
      </c>
      <c r="M139" s="17">
        <f t="shared" si="35"/>
        <v>484.8</v>
      </c>
      <c r="N139" s="17">
        <f t="shared" si="36"/>
        <v>94.6</v>
      </c>
      <c r="O139" s="19">
        <f t="shared" si="37"/>
        <v>0.2375034197053191</v>
      </c>
      <c r="P139" s="20">
        <f t="shared" si="38"/>
        <v>45627</v>
      </c>
      <c r="Q139" s="18" t="str">
        <f>IF(J139&gt;='Pivot Table'!$R$4,"High Value","Standard")</f>
        <v>High Value</v>
      </c>
      <c r="R139" s="21">
        <f t="shared" ca="1" si="39"/>
        <v>46304.639624537034</v>
      </c>
      <c r="AD139" s="44">
        <v>77</v>
      </c>
      <c r="AE139" s="39">
        <v>441.51714165984458</v>
      </c>
      <c r="AF139" s="39">
        <v>-4.7141659844555761E-2</v>
      </c>
      <c r="AG139" s="45">
        <v>-5.477501215448567E-4</v>
      </c>
    </row>
    <row r="140" spans="1:33" ht="15.75" customHeight="1" x14ac:dyDescent="0.3">
      <c r="A140" s="11" t="s">
        <v>114</v>
      </c>
      <c r="B140" s="12" t="s">
        <v>98</v>
      </c>
      <c r="C140" s="11" t="s">
        <v>41</v>
      </c>
      <c r="D140" s="11" t="s">
        <v>52</v>
      </c>
      <c r="E140" s="13">
        <v>806.03</v>
      </c>
      <c r="F140" s="14">
        <v>19</v>
      </c>
      <c r="G140" s="15">
        <v>0.05</v>
      </c>
      <c r="H140" s="16">
        <v>45638</v>
      </c>
      <c r="I140" s="13">
        <v>268</v>
      </c>
      <c r="J140" s="17">
        <f t="shared" si="33"/>
        <v>6481.43</v>
      </c>
      <c r="K140" s="18" t="str">
        <f>IF(INDEX('Pivot Table'!$N$5:$N$34,MATCH(A140,'Pivot Table'!$I$5:$I$34,0))&lt;=10,"Top 10","")</f>
        <v/>
      </c>
      <c r="L140" s="17">
        <f t="shared" si="34"/>
        <v>848.45</v>
      </c>
      <c r="M140" s="17">
        <f t="shared" si="35"/>
        <v>763.61</v>
      </c>
      <c r="N140" s="17">
        <f t="shared" si="36"/>
        <v>225.58</v>
      </c>
      <c r="O140" s="19">
        <f t="shared" si="37"/>
        <v>0.33249382777315983</v>
      </c>
      <c r="P140" s="20">
        <f t="shared" si="38"/>
        <v>45627</v>
      </c>
      <c r="Q140" s="18" t="str">
        <f>IF(J140&gt;='Pivot Table'!$R$4,"High Value","Standard")</f>
        <v>Standard</v>
      </c>
      <c r="R140" s="21">
        <f t="shared" ca="1" si="39"/>
        <v>46304.639624537034</v>
      </c>
      <c r="AD140" s="44">
        <v>78</v>
      </c>
      <c r="AE140" s="39">
        <v>180.73641131405591</v>
      </c>
      <c r="AF140" s="39">
        <v>-8.4764113140558948</v>
      </c>
      <c r="AG140" s="45">
        <v>-9.8489432549637199E-2</v>
      </c>
    </row>
    <row r="141" spans="1:33" ht="15.75" customHeight="1" x14ac:dyDescent="0.3">
      <c r="A141" s="11" t="s">
        <v>55</v>
      </c>
      <c r="B141" s="12" t="s">
        <v>51</v>
      </c>
      <c r="C141" s="11" t="s">
        <v>63</v>
      </c>
      <c r="D141" s="11" t="s">
        <v>52</v>
      </c>
      <c r="E141" s="13">
        <v>1432.47</v>
      </c>
      <c r="F141" s="14">
        <v>16</v>
      </c>
      <c r="G141" s="15">
        <v>0.15</v>
      </c>
      <c r="H141" s="16">
        <v>45640</v>
      </c>
      <c r="I141" s="13">
        <v>426.16</v>
      </c>
      <c r="J141" s="17">
        <f t="shared" si="33"/>
        <v>6549.55</v>
      </c>
      <c r="K141" s="18" t="str">
        <f>IF(INDEX('Pivot Table'!$N$5:$N$34,MATCH(A141,'Pivot Table'!$I$5:$I$34,0))&lt;=10,"Top 10","")</f>
        <v/>
      </c>
      <c r="L141" s="17">
        <f t="shared" si="34"/>
        <v>1685.26</v>
      </c>
      <c r="M141" s="17">
        <f t="shared" si="35"/>
        <v>1516.73</v>
      </c>
      <c r="N141" s="17">
        <f t="shared" si="36"/>
        <v>510.42</v>
      </c>
      <c r="O141" s="19">
        <f t="shared" si="37"/>
        <v>0.29750012216660732</v>
      </c>
      <c r="P141" s="20">
        <f t="shared" si="38"/>
        <v>45627</v>
      </c>
      <c r="Q141" s="18" t="str">
        <f>IF(J141&gt;='Pivot Table'!$R$4,"High Value","Standard")</f>
        <v>Standard</v>
      </c>
      <c r="R141" s="21">
        <f t="shared" ca="1" si="39"/>
        <v>46304.639624537034</v>
      </c>
      <c r="AD141" s="44">
        <v>79</v>
      </c>
      <c r="AE141" s="39">
        <v>388.8887434305762</v>
      </c>
      <c r="AF141" s="39">
        <v>111.2112565694238</v>
      </c>
      <c r="AG141" s="45">
        <v>1.2921899547856741</v>
      </c>
    </row>
    <row r="142" spans="1:33" ht="15.75" customHeight="1" x14ac:dyDescent="0.3">
      <c r="A142" s="11" t="s">
        <v>162</v>
      </c>
      <c r="B142" s="12" t="s">
        <v>56</v>
      </c>
      <c r="C142" s="11" t="s">
        <v>63</v>
      </c>
      <c r="D142" s="11" t="s">
        <v>42</v>
      </c>
      <c r="E142" s="13">
        <v>1488.58</v>
      </c>
      <c r="F142" s="14">
        <v>10</v>
      </c>
      <c r="G142" s="15">
        <v>0.15</v>
      </c>
      <c r="H142" s="16">
        <v>45640</v>
      </c>
      <c r="I142" s="13">
        <v>316.32</v>
      </c>
      <c r="J142" s="17">
        <f t="shared" si="33"/>
        <v>3906.04</v>
      </c>
      <c r="K142" s="18" t="str">
        <f>IF(INDEX('Pivot Table'!$N$5:$N$34,MATCH(A142,'Pivot Table'!$I$5:$I$34,0))&lt;=10,"Top 10","")</f>
        <v/>
      </c>
      <c r="L142" s="17">
        <f t="shared" si="34"/>
        <v>1751.27</v>
      </c>
      <c r="M142" s="17">
        <f t="shared" si="35"/>
        <v>1576.14</v>
      </c>
      <c r="N142" s="17">
        <f t="shared" si="36"/>
        <v>403.88</v>
      </c>
      <c r="O142" s="19">
        <f t="shared" si="37"/>
        <v>0.21249781671122817</v>
      </c>
      <c r="P142" s="20">
        <f t="shared" si="38"/>
        <v>45627</v>
      </c>
      <c r="Q142" s="18" t="str">
        <f>IF(J142&gt;='Pivot Table'!$R$4,"High Value","Standard")</f>
        <v>Standard</v>
      </c>
      <c r="R142" s="21">
        <f t="shared" ca="1" si="39"/>
        <v>46304.639624537034</v>
      </c>
      <c r="AD142" s="44">
        <v>80</v>
      </c>
      <c r="AE142" s="39">
        <v>452.08843258416368</v>
      </c>
      <c r="AF142" s="39">
        <v>129.07156741583631</v>
      </c>
      <c r="AG142" s="45">
        <v>1.4997131406304161</v>
      </c>
    </row>
    <row r="143" spans="1:33" ht="15.75" customHeight="1" x14ac:dyDescent="0.3">
      <c r="A143" s="11" t="s">
        <v>58</v>
      </c>
      <c r="B143" s="12" t="s">
        <v>118</v>
      </c>
      <c r="C143" s="11" t="s">
        <v>33</v>
      </c>
      <c r="D143" s="11" t="s">
        <v>25</v>
      </c>
      <c r="E143" s="13">
        <v>1231.26</v>
      </c>
      <c r="F143" s="14">
        <v>9</v>
      </c>
      <c r="G143" s="15">
        <v>0</v>
      </c>
      <c r="H143" s="16">
        <v>45646</v>
      </c>
      <c r="I143" s="13">
        <v>492.5</v>
      </c>
      <c r="J143" s="17">
        <f t="shared" si="33"/>
        <v>9371.81</v>
      </c>
      <c r="K143" s="18" t="str">
        <f>IF(INDEX('Pivot Table'!$N$5:$N$34,MATCH(A143,'Pivot Table'!$I$5:$I$34,0))&lt;=10,"Top 10","")</f>
        <v>Top 10</v>
      </c>
      <c r="L143" s="17">
        <f t="shared" si="34"/>
        <v>1231.26</v>
      </c>
      <c r="M143" s="17">
        <f t="shared" si="35"/>
        <v>1108.1300000000001</v>
      </c>
      <c r="N143" s="17">
        <f t="shared" si="36"/>
        <v>369.37</v>
      </c>
      <c r="O143" s="19">
        <f t="shared" si="37"/>
        <v>0.39999675129542095</v>
      </c>
      <c r="P143" s="20">
        <f t="shared" si="38"/>
        <v>45627</v>
      </c>
      <c r="Q143" s="18" t="str">
        <f>IF(J143&gt;='Pivot Table'!$R$4,"High Value","Standard")</f>
        <v>High Value</v>
      </c>
      <c r="R143" s="21">
        <f t="shared" ca="1" si="39"/>
        <v>46304.639624537034</v>
      </c>
      <c r="AD143" s="44">
        <v>81</v>
      </c>
      <c r="AE143" s="39">
        <v>237.4487732459155</v>
      </c>
      <c r="AF143" s="39">
        <v>34.43122675408452</v>
      </c>
      <c r="AG143" s="45">
        <v>0.4000645862211058</v>
      </c>
    </row>
    <row r="144" spans="1:33" ht="15.75" customHeight="1" x14ac:dyDescent="0.3">
      <c r="A144" s="11" t="s">
        <v>58</v>
      </c>
      <c r="B144" s="12" t="s">
        <v>80</v>
      </c>
      <c r="C144" s="11" t="s">
        <v>24</v>
      </c>
      <c r="D144" s="11" t="s">
        <v>42</v>
      </c>
      <c r="E144" s="13">
        <v>1161.67</v>
      </c>
      <c r="F144" s="14">
        <v>19</v>
      </c>
      <c r="G144" s="15">
        <v>0.2</v>
      </c>
      <c r="H144" s="16">
        <v>45647</v>
      </c>
      <c r="I144" s="13">
        <v>232.33</v>
      </c>
      <c r="J144" s="17">
        <f t="shared" si="33"/>
        <v>9371.81</v>
      </c>
      <c r="K144" s="18" t="str">
        <f>IF(INDEX('Pivot Table'!$N$5:$N$34,MATCH(A144,'Pivot Table'!$I$5:$I$34,0))&lt;=10,"Top 10","")</f>
        <v>Top 10</v>
      </c>
      <c r="L144" s="17">
        <f t="shared" si="34"/>
        <v>1452.09</v>
      </c>
      <c r="M144" s="17">
        <f t="shared" si="35"/>
        <v>1306.8800000000001</v>
      </c>
      <c r="N144" s="17">
        <f t="shared" si="36"/>
        <v>377.54</v>
      </c>
      <c r="O144" s="19">
        <f t="shared" si="37"/>
        <v>0.19999655668132946</v>
      </c>
      <c r="P144" s="20">
        <f t="shared" si="38"/>
        <v>45627</v>
      </c>
      <c r="Q144" s="18" t="str">
        <f>IF(J144&gt;='Pivot Table'!$R$4,"High Value","Standard")</f>
        <v>High Value</v>
      </c>
      <c r="R144" s="21">
        <f t="shared" ca="1" si="39"/>
        <v>46304.639624537034</v>
      </c>
      <c r="AD144" s="44">
        <v>82</v>
      </c>
      <c r="AE144" s="39">
        <v>400.23893464868848</v>
      </c>
      <c r="AF144" s="39">
        <v>5.1065351311535778E-2</v>
      </c>
      <c r="AG144" s="45">
        <v>5.9334042288404531E-4</v>
      </c>
    </row>
    <row r="145" spans="1:33" ht="15.75" customHeight="1" x14ac:dyDescent="0.3">
      <c r="A145" s="11" t="s">
        <v>86</v>
      </c>
      <c r="B145" s="12" t="s">
        <v>82</v>
      </c>
      <c r="C145" s="11" t="s">
        <v>63</v>
      </c>
      <c r="D145" s="11" t="s">
        <v>69</v>
      </c>
      <c r="E145" s="13">
        <v>388.23</v>
      </c>
      <c r="F145" s="14">
        <v>16</v>
      </c>
      <c r="G145" s="15">
        <v>0.05</v>
      </c>
      <c r="H145" s="16">
        <v>45650</v>
      </c>
      <c r="I145" s="13">
        <v>165.97</v>
      </c>
      <c r="J145" s="17">
        <f t="shared" si="33"/>
        <v>4418.2800000000007</v>
      </c>
      <c r="K145" s="18" t="str">
        <f>IF(INDEX('Pivot Table'!$N$5:$N$34,MATCH(A145,'Pivot Table'!$I$5:$I$34,0))&lt;=10,"Top 10","")</f>
        <v/>
      </c>
      <c r="L145" s="17">
        <f t="shared" si="34"/>
        <v>408.66</v>
      </c>
      <c r="M145" s="17">
        <f t="shared" si="35"/>
        <v>367.79</v>
      </c>
      <c r="N145" s="17">
        <f t="shared" si="36"/>
        <v>145.53</v>
      </c>
      <c r="O145" s="19">
        <f t="shared" si="37"/>
        <v>0.42750431445277282</v>
      </c>
      <c r="P145" s="20">
        <f t="shared" si="38"/>
        <v>45627</v>
      </c>
      <c r="Q145" s="18" t="str">
        <f>IF(J145&gt;='Pivot Table'!$R$4,"High Value","Standard")</f>
        <v>Standard</v>
      </c>
      <c r="R145" s="21">
        <f t="shared" ca="1" si="39"/>
        <v>46304.639624537034</v>
      </c>
      <c r="AD145" s="44">
        <v>83</v>
      </c>
      <c r="AE145" s="39">
        <v>276.17274866301119</v>
      </c>
      <c r="AF145" s="39">
        <v>-98.402748663011181</v>
      </c>
      <c r="AG145" s="45">
        <v>-1.143364864925033</v>
      </c>
    </row>
    <row r="146" spans="1:33" ht="15.75" customHeight="1" x14ac:dyDescent="0.3">
      <c r="A146" s="11" t="s">
        <v>153</v>
      </c>
      <c r="B146" s="12" t="s">
        <v>59</v>
      </c>
      <c r="C146" s="11" t="s">
        <v>47</v>
      </c>
      <c r="D146" s="11" t="s">
        <v>28</v>
      </c>
      <c r="E146" s="13">
        <v>1589.42</v>
      </c>
      <c r="F146" s="14">
        <v>6</v>
      </c>
      <c r="G146" s="15">
        <v>0.15</v>
      </c>
      <c r="H146" s="16">
        <v>45651</v>
      </c>
      <c r="I146" s="13">
        <v>675.5</v>
      </c>
      <c r="J146" s="17">
        <f t="shared" si="33"/>
        <v>7813.59</v>
      </c>
      <c r="K146" s="18" t="str">
        <f>IF(INDEX('Pivot Table'!$N$5:$N$34,MATCH(A146,'Pivot Table'!$I$5:$I$34,0))&lt;=10,"Top 10","")</f>
        <v>Top 10</v>
      </c>
      <c r="L146" s="17">
        <f t="shared" si="34"/>
        <v>1869.91</v>
      </c>
      <c r="M146" s="17">
        <f t="shared" si="35"/>
        <v>1682.92</v>
      </c>
      <c r="N146" s="17">
        <f t="shared" si="36"/>
        <v>769</v>
      </c>
      <c r="O146" s="19">
        <f t="shared" si="37"/>
        <v>0.42499779793887077</v>
      </c>
      <c r="P146" s="20">
        <f t="shared" si="38"/>
        <v>45627</v>
      </c>
      <c r="Q146" s="18" t="str">
        <f>IF(J146&gt;='Pivot Table'!$R$4,"High Value","Standard")</f>
        <v>Standard</v>
      </c>
      <c r="R146" s="21">
        <f t="shared" ca="1" si="39"/>
        <v>46304.639624537034</v>
      </c>
      <c r="AD146" s="44">
        <v>84</v>
      </c>
      <c r="AE146" s="39">
        <v>374.62293895056263</v>
      </c>
      <c r="AF146" s="39">
        <v>32.237061049437443</v>
      </c>
      <c r="AG146" s="45">
        <v>0.3745700547308492</v>
      </c>
    </row>
    <row r="147" spans="1:33" ht="15.75" customHeight="1" x14ac:dyDescent="0.3">
      <c r="A147" s="11" t="s">
        <v>55</v>
      </c>
      <c r="B147" s="12" t="s">
        <v>144</v>
      </c>
      <c r="C147" s="11" t="s">
        <v>47</v>
      </c>
      <c r="D147" s="11" t="s">
        <v>28</v>
      </c>
      <c r="E147" s="13">
        <v>336.66</v>
      </c>
      <c r="F147" s="14">
        <v>13</v>
      </c>
      <c r="G147" s="15">
        <v>0.2</v>
      </c>
      <c r="H147" s="16">
        <v>45651</v>
      </c>
      <c r="I147" s="13">
        <v>134.66</v>
      </c>
      <c r="J147" s="17">
        <f t="shared" si="33"/>
        <v>6549.55</v>
      </c>
      <c r="K147" s="18" t="str">
        <f>IF(INDEX('Pivot Table'!$N$5:$N$34,MATCH(A147,'Pivot Table'!$I$5:$I$34,0))&lt;=10,"Top 10","")</f>
        <v/>
      </c>
      <c r="L147" s="17">
        <f t="shared" si="34"/>
        <v>420.83</v>
      </c>
      <c r="M147" s="17">
        <f t="shared" si="35"/>
        <v>378.75</v>
      </c>
      <c r="N147" s="17">
        <f t="shared" si="36"/>
        <v>176.75</v>
      </c>
      <c r="O147" s="19">
        <f t="shared" si="37"/>
        <v>0.39998811857660543</v>
      </c>
      <c r="P147" s="20">
        <f t="shared" si="38"/>
        <v>45627</v>
      </c>
      <c r="Q147" s="18" t="str">
        <f>IF(J147&gt;='Pivot Table'!$R$4,"High Value","Standard")</f>
        <v>Standard</v>
      </c>
      <c r="R147" s="21">
        <f t="shared" ca="1" si="39"/>
        <v>46304.639624537034</v>
      </c>
      <c r="AD147" s="44">
        <v>85</v>
      </c>
      <c r="AE147" s="39">
        <v>409.08050555120559</v>
      </c>
      <c r="AF147" s="39">
        <v>116.9194944487944</v>
      </c>
      <c r="AG147" s="45">
        <v>1.358515323950487</v>
      </c>
    </row>
    <row r="148" spans="1:33" ht="15.75" customHeight="1" x14ac:dyDescent="0.3">
      <c r="A148" s="11" t="s">
        <v>86</v>
      </c>
      <c r="B148" s="12" t="s">
        <v>46</v>
      </c>
      <c r="C148" s="11" t="s">
        <v>24</v>
      </c>
      <c r="D148" s="11" t="s">
        <v>25</v>
      </c>
      <c r="E148" s="13">
        <v>1353.79</v>
      </c>
      <c r="F148" s="14">
        <v>14</v>
      </c>
      <c r="G148" s="15">
        <v>0.1</v>
      </c>
      <c r="H148" s="16">
        <v>45656</v>
      </c>
      <c r="I148" s="13">
        <v>487.36</v>
      </c>
      <c r="J148" s="17">
        <f t="shared" si="33"/>
        <v>4418.2800000000007</v>
      </c>
      <c r="K148" s="18" t="str">
        <f>IF(INDEX('Pivot Table'!$N$5:$N$34,MATCH(A148,'Pivot Table'!$I$5:$I$34,0))&lt;=10,"Top 10","")</f>
        <v/>
      </c>
      <c r="L148" s="17">
        <f t="shared" si="34"/>
        <v>1504.21</v>
      </c>
      <c r="M148" s="17">
        <f t="shared" si="35"/>
        <v>1353.79</v>
      </c>
      <c r="N148" s="17">
        <f t="shared" si="36"/>
        <v>487.36</v>
      </c>
      <c r="O148" s="19">
        <f t="shared" si="37"/>
        <v>0.35999674986519331</v>
      </c>
      <c r="P148" s="20">
        <f t="shared" si="38"/>
        <v>45627</v>
      </c>
      <c r="Q148" s="18" t="str">
        <f>IF(J148&gt;='Pivot Table'!$R$4,"High Value","Standard")</f>
        <v>Standard</v>
      </c>
      <c r="R148" s="21">
        <f t="shared" ca="1" si="39"/>
        <v>46304.639624537034</v>
      </c>
      <c r="AD148" s="44">
        <v>86</v>
      </c>
      <c r="AE148" s="39">
        <v>467.66643846002711</v>
      </c>
      <c r="AF148" s="39">
        <v>-133.696438460027</v>
      </c>
      <c r="AG148" s="45">
        <v>-1.5534506137049311</v>
      </c>
    </row>
    <row r="149" spans="1:33" ht="15.75" customHeight="1" x14ac:dyDescent="0.3">
      <c r="A149" s="11" t="s">
        <v>106</v>
      </c>
      <c r="B149" s="12" t="s">
        <v>141</v>
      </c>
      <c r="C149" s="11" t="s">
        <v>63</v>
      </c>
      <c r="D149" s="11" t="s">
        <v>28</v>
      </c>
      <c r="E149" s="13">
        <v>662.61</v>
      </c>
      <c r="F149" s="14">
        <v>11</v>
      </c>
      <c r="G149" s="15">
        <v>0.05</v>
      </c>
      <c r="H149" s="16">
        <v>45658</v>
      </c>
      <c r="I149" s="13">
        <v>314.74</v>
      </c>
      <c r="J149" s="17">
        <f t="shared" si="33"/>
        <v>3762.2900000000004</v>
      </c>
      <c r="K149" s="18" t="str">
        <f>IF(INDEX('Pivot Table'!$N$5:$N$34,MATCH(A149,'Pivot Table'!$I$5:$I$34,0))&lt;=10,"Top 10","")</f>
        <v/>
      </c>
      <c r="L149" s="17">
        <f t="shared" si="34"/>
        <v>697.48</v>
      </c>
      <c r="M149" s="17">
        <f t="shared" si="35"/>
        <v>627.73</v>
      </c>
      <c r="N149" s="17">
        <f t="shared" si="36"/>
        <v>279.86</v>
      </c>
      <c r="O149" s="19">
        <f t="shared" si="37"/>
        <v>0.47500037729584521</v>
      </c>
      <c r="P149" s="20">
        <f t="shared" si="38"/>
        <v>45658</v>
      </c>
      <c r="Q149" s="18" t="str">
        <f>IF(J149&gt;='Pivot Table'!$R$4,"High Value","Standard")</f>
        <v>Standard</v>
      </c>
      <c r="R149" s="21">
        <f t="shared" ca="1" si="39"/>
        <v>46304.639624537034</v>
      </c>
      <c r="AD149" s="44">
        <v>87</v>
      </c>
      <c r="AE149" s="39">
        <v>305.51132639588729</v>
      </c>
      <c r="AF149" s="39">
        <v>0.28867360411271648</v>
      </c>
      <c r="AG149" s="45">
        <v>3.3541670416552629E-3</v>
      </c>
    </row>
    <row r="150" spans="1:33" ht="15.75" customHeight="1" x14ac:dyDescent="0.3">
      <c r="A150" s="11" t="s">
        <v>89</v>
      </c>
      <c r="B150" s="12" t="s">
        <v>85</v>
      </c>
      <c r="C150" s="11" t="s">
        <v>47</v>
      </c>
      <c r="D150" s="11" t="s">
        <v>69</v>
      </c>
      <c r="E150" s="13">
        <v>309.42</v>
      </c>
      <c r="F150" s="14">
        <v>1</v>
      </c>
      <c r="G150" s="15">
        <v>0.2</v>
      </c>
      <c r="H150" s="16">
        <v>45658</v>
      </c>
      <c r="I150" s="13">
        <v>111.39</v>
      </c>
      <c r="J150" s="17">
        <f t="shared" si="33"/>
        <v>10293.870000000001</v>
      </c>
      <c r="K150" s="18" t="str">
        <f>IF(INDEX('Pivot Table'!$N$5:$N$34,MATCH(A150,'Pivot Table'!$I$5:$I$34,0))&lt;=10,"Top 10","")</f>
        <v>Top 10</v>
      </c>
      <c r="L150" s="17">
        <f t="shared" si="34"/>
        <v>386.78</v>
      </c>
      <c r="M150" s="17">
        <f t="shared" si="35"/>
        <v>348.1</v>
      </c>
      <c r="N150" s="17">
        <f t="shared" si="36"/>
        <v>150.07</v>
      </c>
      <c r="O150" s="19">
        <f t="shared" si="37"/>
        <v>0.35999612177622647</v>
      </c>
      <c r="P150" s="20">
        <f t="shared" si="38"/>
        <v>45658</v>
      </c>
      <c r="Q150" s="18" t="str">
        <f>IF(J150&gt;='Pivot Table'!$R$4,"High Value","Standard")</f>
        <v>High Value</v>
      </c>
      <c r="R150" s="21">
        <f t="shared" ca="1" si="39"/>
        <v>46304.639624537034</v>
      </c>
      <c r="AD150" s="44">
        <v>88</v>
      </c>
      <c r="AE150" s="39">
        <v>505.59747934380181</v>
      </c>
      <c r="AF150" s="39">
        <v>144.19252065619821</v>
      </c>
      <c r="AG150" s="45">
        <v>1.6754070810345709</v>
      </c>
    </row>
    <row r="151" spans="1:33" ht="15.75" customHeight="1" x14ac:dyDescent="0.3">
      <c r="A151" s="11" t="s">
        <v>106</v>
      </c>
      <c r="B151" s="12" t="s">
        <v>56</v>
      </c>
      <c r="C151" s="11" t="s">
        <v>47</v>
      </c>
      <c r="D151" s="11" t="s">
        <v>25</v>
      </c>
      <c r="E151" s="13">
        <v>884.63</v>
      </c>
      <c r="F151" s="14">
        <v>18</v>
      </c>
      <c r="G151" s="15">
        <v>0.1</v>
      </c>
      <c r="H151" s="16">
        <v>45659</v>
      </c>
      <c r="I151" s="13">
        <v>318.47000000000003</v>
      </c>
      <c r="J151" s="17">
        <f t="shared" si="33"/>
        <v>3762.2900000000004</v>
      </c>
      <c r="K151" s="18" t="str">
        <f>IF(INDEX('Pivot Table'!$N$5:$N$34,MATCH(A151,'Pivot Table'!$I$5:$I$34,0))&lt;=10,"Top 10","")</f>
        <v/>
      </c>
      <c r="L151" s="17">
        <f t="shared" si="34"/>
        <v>982.92</v>
      </c>
      <c r="M151" s="17">
        <f t="shared" si="35"/>
        <v>884.63</v>
      </c>
      <c r="N151" s="17">
        <f t="shared" si="36"/>
        <v>318.47000000000003</v>
      </c>
      <c r="O151" s="19">
        <f t="shared" si="37"/>
        <v>0.36000361733153979</v>
      </c>
      <c r="P151" s="20">
        <f t="shared" si="38"/>
        <v>45658</v>
      </c>
      <c r="Q151" s="18" t="str">
        <f>IF(J151&gt;='Pivot Table'!$R$4,"High Value","Standard")</f>
        <v>Standard</v>
      </c>
      <c r="R151" s="21">
        <f t="shared" ca="1" si="39"/>
        <v>46304.639624537034</v>
      </c>
      <c r="AD151" s="44">
        <v>89</v>
      </c>
      <c r="AE151" s="39">
        <v>403.97204236308448</v>
      </c>
      <c r="AF151" s="39">
        <v>37.557957636915432</v>
      </c>
      <c r="AG151" s="45">
        <v>0.43639481359867399</v>
      </c>
    </row>
    <row r="152" spans="1:33" ht="15.75" customHeight="1" x14ac:dyDescent="0.3">
      <c r="A152" s="11" t="s">
        <v>89</v>
      </c>
      <c r="B152" s="12" t="s">
        <v>46</v>
      </c>
      <c r="C152" s="11" t="s">
        <v>63</v>
      </c>
      <c r="D152" s="11" t="s">
        <v>69</v>
      </c>
      <c r="E152" s="13">
        <v>745.05</v>
      </c>
      <c r="F152" s="14">
        <v>10</v>
      </c>
      <c r="G152" s="15">
        <v>0.1</v>
      </c>
      <c r="H152" s="16">
        <v>45660</v>
      </c>
      <c r="I152" s="13">
        <v>301.75</v>
      </c>
      <c r="J152" s="17">
        <f t="shared" si="33"/>
        <v>10293.870000000001</v>
      </c>
      <c r="K152" s="18" t="str">
        <f>IF(INDEX('Pivot Table'!$N$5:$N$34,MATCH(A152,'Pivot Table'!$I$5:$I$34,0))&lt;=10,"Top 10","")</f>
        <v>Top 10</v>
      </c>
      <c r="L152" s="17">
        <f t="shared" si="34"/>
        <v>827.83</v>
      </c>
      <c r="M152" s="17">
        <f t="shared" si="35"/>
        <v>745.05</v>
      </c>
      <c r="N152" s="17">
        <f t="shared" si="36"/>
        <v>301.75</v>
      </c>
      <c r="O152" s="19">
        <f t="shared" si="37"/>
        <v>0.40500637541104628</v>
      </c>
      <c r="P152" s="20">
        <f t="shared" si="38"/>
        <v>45658</v>
      </c>
      <c r="Q152" s="18" t="str">
        <f>IF(J152&gt;='Pivot Table'!$R$4,"High Value","Standard")</f>
        <v>High Value</v>
      </c>
      <c r="R152" s="21">
        <f t="shared" ca="1" si="39"/>
        <v>46304.639624537034</v>
      </c>
      <c r="AD152" s="44">
        <v>90</v>
      </c>
      <c r="AE152" s="39">
        <v>442.62233802265928</v>
      </c>
      <c r="AF152" s="39">
        <v>37.887661977340713</v>
      </c>
      <c r="AG152" s="45">
        <v>0.44022572649264741</v>
      </c>
    </row>
    <row r="153" spans="1:33" ht="15.75" customHeight="1" x14ac:dyDescent="0.3">
      <c r="A153" s="11" t="s">
        <v>97</v>
      </c>
      <c r="B153" s="12" t="s">
        <v>32</v>
      </c>
      <c r="C153" s="11" t="s">
        <v>41</v>
      </c>
      <c r="D153" s="11" t="s">
        <v>28</v>
      </c>
      <c r="E153" s="13">
        <v>870.23</v>
      </c>
      <c r="F153" s="14">
        <v>5</v>
      </c>
      <c r="G153" s="15">
        <v>0.05</v>
      </c>
      <c r="H153" s="16">
        <v>45660</v>
      </c>
      <c r="I153" s="13">
        <v>413.36</v>
      </c>
      <c r="J153" s="17">
        <f t="shared" si="33"/>
        <v>3369.17</v>
      </c>
      <c r="K153" s="18" t="str">
        <f>IF(INDEX('Pivot Table'!$N$5:$N$34,MATCH(A153,'Pivot Table'!$I$5:$I$34,0))&lt;=10,"Top 10","")</f>
        <v/>
      </c>
      <c r="L153" s="17">
        <f t="shared" si="34"/>
        <v>916.03</v>
      </c>
      <c r="M153" s="17">
        <f t="shared" si="35"/>
        <v>824.43</v>
      </c>
      <c r="N153" s="17">
        <f t="shared" si="36"/>
        <v>367.56</v>
      </c>
      <c r="O153" s="19">
        <f t="shared" si="37"/>
        <v>0.47500086184112245</v>
      </c>
      <c r="P153" s="20">
        <f t="shared" si="38"/>
        <v>45658</v>
      </c>
      <c r="Q153" s="18" t="str">
        <f>IF(J153&gt;='Pivot Table'!$R$4,"High Value","Standard")</f>
        <v>Standard</v>
      </c>
      <c r="R153" s="21">
        <f t="shared" ca="1" si="39"/>
        <v>46304.639624537034</v>
      </c>
      <c r="AD153" s="44">
        <v>91</v>
      </c>
      <c r="AE153" s="39">
        <v>385.45386330614599</v>
      </c>
      <c r="AF153" s="39">
        <v>-38.463863306145981</v>
      </c>
      <c r="AG153" s="45">
        <v>-0.44692074633132289</v>
      </c>
    </row>
    <row r="154" spans="1:33" ht="15.75" customHeight="1" x14ac:dyDescent="0.3">
      <c r="A154" s="11" t="s">
        <v>64</v>
      </c>
      <c r="B154" s="12" t="s">
        <v>56</v>
      </c>
      <c r="C154" s="11" t="s">
        <v>24</v>
      </c>
      <c r="D154" s="11" t="s">
        <v>52</v>
      </c>
      <c r="E154" s="13">
        <v>862.19</v>
      </c>
      <c r="F154" s="14">
        <v>18</v>
      </c>
      <c r="G154" s="15">
        <v>0.05</v>
      </c>
      <c r="H154" s="16">
        <v>45663</v>
      </c>
      <c r="I154" s="13">
        <v>286.68</v>
      </c>
      <c r="J154" s="17">
        <f t="shared" si="33"/>
        <v>4259.22</v>
      </c>
      <c r="K154" s="18" t="str">
        <f>IF(INDEX('Pivot Table'!$N$5:$N$34,MATCH(A154,'Pivot Table'!$I$5:$I$34,0))&lt;=10,"Top 10","")</f>
        <v/>
      </c>
      <c r="L154" s="17">
        <f t="shared" si="34"/>
        <v>907.57</v>
      </c>
      <c r="M154" s="17">
        <f t="shared" si="35"/>
        <v>816.81</v>
      </c>
      <c r="N154" s="17">
        <f t="shared" si="36"/>
        <v>241.3</v>
      </c>
      <c r="O154" s="19">
        <f t="shared" si="37"/>
        <v>0.33250211670281493</v>
      </c>
      <c r="P154" s="20">
        <f t="shared" si="38"/>
        <v>45658</v>
      </c>
      <c r="Q154" s="18" t="str">
        <f>IF(J154&gt;='Pivot Table'!$R$4,"High Value","Standard")</f>
        <v>Standard</v>
      </c>
      <c r="R154" s="21">
        <f t="shared" ca="1" si="39"/>
        <v>46304.639624537034</v>
      </c>
      <c r="AD154" s="44">
        <v>92</v>
      </c>
      <c r="AE154" s="39">
        <v>254.29687779904529</v>
      </c>
      <c r="AF154" s="39">
        <v>-25.066877799045269</v>
      </c>
      <c r="AG154" s="45">
        <v>-0.29125799571868061</v>
      </c>
    </row>
    <row r="155" spans="1:33" ht="15.75" customHeight="1" x14ac:dyDescent="0.3">
      <c r="A155" s="11" t="s">
        <v>161</v>
      </c>
      <c r="B155" s="12" t="s">
        <v>96</v>
      </c>
      <c r="C155" s="11" t="s">
        <v>47</v>
      </c>
      <c r="D155" s="11" t="s">
        <v>28</v>
      </c>
      <c r="E155" s="13">
        <v>1171.18</v>
      </c>
      <c r="F155" s="14">
        <v>19</v>
      </c>
      <c r="G155" s="15">
        <v>0.05</v>
      </c>
      <c r="H155" s="16">
        <v>45667</v>
      </c>
      <c r="I155" s="13">
        <v>556.30999999999995</v>
      </c>
      <c r="J155" s="17">
        <f t="shared" si="33"/>
        <v>4162.4400000000005</v>
      </c>
      <c r="K155" s="18" t="str">
        <f>IF(INDEX('Pivot Table'!$N$5:$N$34,MATCH(A155,'Pivot Table'!$I$5:$I$34,0))&lt;=10,"Top 10","")</f>
        <v/>
      </c>
      <c r="L155" s="17">
        <f t="shared" si="34"/>
        <v>1232.82</v>
      </c>
      <c r="M155" s="17">
        <f t="shared" si="35"/>
        <v>1109.54</v>
      </c>
      <c r="N155" s="17">
        <f t="shared" si="36"/>
        <v>494.67</v>
      </c>
      <c r="O155" s="19">
        <f t="shared" si="37"/>
        <v>0.47499957308014135</v>
      </c>
      <c r="P155" s="20">
        <f t="shared" si="38"/>
        <v>45658</v>
      </c>
      <c r="Q155" s="18" t="str">
        <f>IF(J155&gt;='Pivot Table'!$R$4,"High Value","Standard")</f>
        <v>Standard</v>
      </c>
      <c r="R155" s="21">
        <f t="shared" ca="1" si="39"/>
        <v>46304.639624537034</v>
      </c>
      <c r="AD155" s="44">
        <v>93</v>
      </c>
      <c r="AE155" s="39">
        <v>306.11129013570093</v>
      </c>
      <c r="AF155" s="39">
        <v>28.728709864299049</v>
      </c>
      <c r="AG155" s="45">
        <v>0.33380569059054982</v>
      </c>
    </row>
    <row r="156" spans="1:33" ht="15.75" customHeight="1" x14ac:dyDescent="0.3">
      <c r="A156" s="11" t="s">
        <v>95</v>
      </c>
      <c r="B156" s="12" t="s">
        <v>27</v>
      </c>
      <c r="C156" s="11" t="s">
        <v>41</v>
      </c>
      <c r="D156" s="11" t="s">
        <v>52</v>
      </c>
      <c r="E156" s="13">
        <v>1054.56</v>
      </c>
      <c r="F156" s="14">
        <v>11</v>
      </c>
      <c r="G156" s="15">
        <v>0.1</v>
      </c>
      <c r="H156" s="16">
        <v>45669</v>
      </c>
      <c r="I156" s="13">
        <v>332.19</v>
      </c>
      <c r="J156" s="17">
        <f t="shared" si="33"/>
        <v>11611.060000000001</v>
      </c>
      <c r="K156" s="18" t="str">
        <f>IF(INDEX('Pivot Table'!$N$5:$N$34,MATCH(A156,'Pivot Table'!$I$5:$I$34,0))&lt;=10,"Top 10","")</f>
        <v>Top 10</v>
      </c>
      <c r="L156" s="17">
        <f t="shared" si="34"/>
        <v>1171.73</v>
      </c>
      <c r="M156" s="17">
        <f t="shared" si="35"/>
        <v>1054.56</v>
      </c>
      <c r="N156" s="17">
        <f t="shared" si="36"/>
        <v>332.19</v>
      </c>
      <c r="O156" s="19">
        <f t="shared" si="37"/>
        <v>0.31500341374601731</v>
      </c>
      <c r="P156" s="20">
        <f t="shared" si="38"/>
        <v>45658</v>
      </c>
      <c r="Q156" s="18" t="str">
        <f>IF(J156&gt;='Pivot Table'!$R$4,"High Value","Standard")</f>
        <v>High Value</v>
      </c>
      <c r="R156" s="21">
        <f t="shared" ca="1" si="39"/>
        <v>46304.639624537034</v>
      </c>
      <c r="AD156" s="44">
        <v>94</v>
      </c>
      <c r="AE156" s="39">
        <v>405.58948846866411</v>
      </c>
      <c r="AF156" s="39">
        <v>-173.79948846866409</v>
      </c>
      <c r="AG156" s="45">
        <v>-2.0194174589323231</v>
      </c>
    </row>
    <row r="157" spans="1:33" ht="15.75" customHeight="1" x14ac:dyDescent="0.3">
      <c r="A157" s="11" t="s">
        <v>95</v>
      </c>
      <c r="B157" s="12" t="s">
        <v>46</v>
      </c>
      <c r="C157" s="11" t="s">
        <v>47</v>
      </c>
      <c r="D157" s="11" t="s">
        <v>42</v>
      </c>
      <c r="E157" s="13">
        <v>1681.21</v>
      </c>
      <c r="F157" s="14">
        <v>5</v>
      </c>
      <c r="G157" s="15">
        <v>0.2</v>
      </c>
      <c r="H157" s="16">
        <v>45670</v>
      </c>
      <c r="I157" s="13">
        <v>336.24</v>
      </c>
      <c r="J157" s="17">
        <f t="shared" si="33"/>
        <v>11611.060000000001</v>
      </c>
      <c r="K157" s="18" t="str">
        <f>IF(INDEX('Pivot Table'!$N$5:$N$34,MATCH(A157,'Pivot Table'!$I$5:$I$34,0))&lt;=10,"Top 10","")</f>
        <v>Top 10</v>
      </c>
      <c r="L157" s="17">
        <f t="shared" si="34"/>
        <v>2101.5100000000002</v>
      </c>
      <c r="M157" s="17">
        <f t="shared" si="35"/>
        <v>1891.36</v>
      </c>
      <c r="N157" s="17">
        <f t="shared" si="36"/>
        <v>546.39</v>
      </c>
      <c r="O157" s="19">
        <f t="shared" si="37"/>
        <v>0.19999881038061873</v>
      </c>
      <c r="P157" s="20">
        <f t="shared" si="38"/>
        <v>45658</v>
      </c>
      <c r="Q157" s="18" t="str">
        <f>IF(J157&gt;='Pivot Table'!$R$4,"High Value","Standard")</f>
        <v>High Value</v>
      </c>
      <c r="R157" s="21">
        <f t="shared" ca="1" si="39"/>
        <v>46304.639624537034</v>
      </c>
      <c r="AD157" s="44">
        <v>95</v>
      </c>
      <c r="AE157" s="39">
        <v>338.00059090275562</v>
      </c>
      <c r="AF157" s="39">
        <v>-9.4605909027555981</v>
      </c>
      <c r="AG157" s="45">
        <v>-0.10992484850889279</v>
      </c>
    </row>
    <row r="158" spans="1:33" ht="15.75" customHeight="1" x14ac:dyDescent="0.3">
      <c r="A158" s="11" t="s">
        <v>95</v>
      </c>
      <c r="B158" s="12" t="s">
        <v>65</v>
      </c>
      <c r="C158" s="11" t="s">
        <v>24</v>
      </c>
      <c r="D158" s="11" t="s">
        <v>28</v>
      </c>
      <c r="E158" s="13">
        <v>379.77</v>
      </c>
      <c r="F158" s="14">
        <v>9</v>
      </c>
      <c r="G158" s="15">
        <v>0.05</v>
      </c>
      <c r="H158" s="16">
        <v>45673</v>
      </c>
      <c r="I158" s="13">
        <v>180.39</v>
      </c>
      <c r="J158" s="17">
        <f t="shared" si="33"/>
        <v>11611.060000000001</v>
      </c>
      <c r="K158" s="18" t="str">
        <f>IF(INDEX('Pivot Table'!$N$5:$N$34,MATCH(A158,'Pivot Table'!$I$5:$I$34,0))&lt;=10,"Top 10","")</f>
        <v>Top 10</v>
      </c>
      <c r="L158" s="17">
        <f t="shared" si="34"/>
        <v>399.76</v>
      </c>
      <c r="M158" s="17">
        <f t="shared" si="35"/>
        <v>359.78</v>
      </c>
      <c r="N158" s="17">
        <f t="shared" si="36"/>
        <v>160.4</v>
      </c>
      <c r="O158" s="19">
        <f t="shared" si="37"/>
        <v>0.47499802512046763</v>
      </c>
      <c r="P158" s="20">
        <f t="shared" si="38"/>
        <v>45658</v>
      </c>
      <c r="Q158" s="18" t="str">
        <f>IF(J158&gt;='Pivot Table'!$R$4,"High Value","Standard")</f>
        <v>High Value</v>
      </c>
      <c r="R158" s="21">
        <f t="shared" ca="1" si="39"/>
        <v>46304.639624537034</v>
      </c>
      <c r="AD158" s="44">
        <v>96</v>
      </c>
      <c r="AE158" s="39">
        <v>320.87180155906981</v>
      </c>
      <c r="AF158" s="39">
        <v>46.118198440930257</v>
      </c>
      <c r="AG158" s="45">
        <v>0.53585828086549037</v>
      </c>
    </row>
    <row r="159" spans="1:33" ht="15.75" customHeight="1" x14ac:dyDescent="0.3">
      <c r="A159" s="11" t="s">
        <v>81</v>
      </c>
      <c r="B159" s="12" t="s">
        <v>82</v>
      </c>
      <c r="C159" s="11" t="s">
        <v>63</v>
      </c>
      <c r="D159" s="11" t="s">
        <v>28</v>
      </c>
      <c r="E159" s="13">
        <v>1076.33</v>
      </c>
      <c r="F159" s="14">
        <v>2</v>
      </c>
      <c r="G159" s="15">
        <v>0.1</v>
      </c>
      <c r="H159" s="16">
        <v>45674</v>
      </c>
      <c r="I159" s="13">
        <v>484.35</v>
      </c>
      <c r="J159" s="17">
        <f t="shared" si="33"/>
        <v>9760.7999999999993</v>
      </c>
      <c r="K159" s="18" t="str">
        <f>IF(INDEX('Pivot Table'!$N$5:$N$34,MATCH(A159,'Pivot Table'!$I$5:$I$34,0))&lt;=10,"Top 10","")</f>
        <v>Top 10</v>
      </c>
      <c r="L159" s="17">
        <f t="shared" si="34"/>
        <v>1195.92</v>
      </c>
      <c r="M159" s="17">
        <f t="shared" si="35"/>
        <v>1076.33</v>
      </c>
      <c r="N159" s="17">
        <f t="shared" si="36"/>
        <v>484.35</v>
      </c>
      <c r="O159" s="19">
        <f t="shared" si="37"/>
        <v>0.45000139362463193</v>
      </c>
      <c r="P159" s="20">
        <f t="shared" si="38"/>
        <v>45658</v>
      </c>
      <c r="Q159" s="18" t="str">
        <f>IF(J159&gt;='Pivot Table'!$R$4,"High Value","Standard")</f>
        <v>High Value</v>
      </c>
      <c r="R159" s="21">
        <f t="shared" ca="1" si="39"/>
        <v>46304.639624537034</v>
      </c>
      <c r="AD159" s="44">
        <v>97</v>
      </c>
      <c r="AE159" s="39">
        <v>410.51199798304162</v>
      </c>
      <c r="AF159" s="39">
        <v>-61.551997983041637</v>
      </c>
      <c r="AG159" s="45">
        <v>-0.71518725661573168</v>
      </c>
    </row>
    <row r="160" spans="1:33" ht="15.75" customHeight="1" x14ac:dyDescent="0.3">
      <c r="A160" s="11" t="s">
        <v>81</v>
      </c>
      <c r="B160" s="12" t="s">
        <v>59</v>
      </c>
      <c r="C160" s="11" t="s">
        <v>63</v>
      </c>
      <c r="D160" s="11" t="s">
        <v>69</v>
      </c>
      <c r="E160" s="13">
        <v>1250.71</v>
      </c>
      <c r="F160" s="14">
        <v>7</v>
      </c>
      <c r="G160" s="15">
        <v>0</v>
      </c>
      <c r="H160" s="16">
        <v>45674</v>
      </c>
      <c r="I160" s="13">
        <v>562.82000000000005</v>
      </c>
      <c r="J160" s="17">
        <f t="shared" si="33"/>
        <v>9760.7999999999993</v>
      </c>
      <c r="K160" s="18" t="str">
        <f>IF(INDEX('Pivot Table'!$N$5:$N$34,MATCH(A160,'Pivot Table'!$I$5:$I$34,0))&lt;=10,"Top 10","")</f>
        <v>Top 10</v>
      </c>
      <c r="L160" s="17">
        <f t="shared" si="34"/>
        <v>1250.71</v>
      </c>
      <c r="M160" s="17">
        <f t="shared" si="35"/>
        <v>1125.6400000000001</v>
      </c>
      <c r="N160" s="17">
        <f t="shared" si="36"/>
        <v>437.75</v>
      </c>
      <c r="O160" s="19">
        <f t="shared" si="37"/>
        <v>0.45000039977292899</v>
      </c>
      <c r="P160" s="20">
        <f t="shared" si="38"/>
        <v>45658</v>
      </c>
      <c r="Q160" s="18" t="str">
        <f>IF(J160&gt;='Pivot Table'!$R$4,"High Value","Standard")</f>
        <v>High Value</v>
      </c>
      <c r="R160" s="21">
        <f t="shared" ca="1" si="39"/>
        <v>46304.639624537034</v>
      </c>
      <c r="AD160" s="44">
        <v>98</v>
      </c>
      <c r="AE160" s="39">
        <v>422.03761719525141</v>
      </c>
      <c r="AF160" s="39">
        <v>120.5823828047486</v>
      </c>
      <c r="AG160" s="45">
        <v>1.4010752921144181</v>
      </c>
    </row>
    <row r="161" spans="1:33" ht="15.75" customHeight="1" x14ac:dyDescent="0.3">
      <c r="A161" s="11" t="s">
        <v>72</v>
      </c>
      <c r="B161" s="12" t="s">
        <v>32</v>
      </c>
      <c r="C161" s="11" t="s">
        <v>41</v>
      </c>
      <c r="D161" s="11" t="s">
        <v>28</v>
      </c>
      <c r="E161" s="13">
        <v>1118.3399999999999</v>
      </c>
      <c r="F161" s="14">
        <v>6</v>
      </c>
      <c r="G161" s="15">
        <v>0.2</v>
      </c>
      <c r="H161" s="16">
        <v>45674</v>
      </c>
      <c r="I161" s="13">
        <v>447.34</v>
      </c>
      <c r="J161" s="17">
        <f t="shared" si="33"/>
        <v>5913.68</v>
      </c>
      <c r="K161" s="18" t="str">
        <f>IF(INDEX('Pivot Table'!$N$5:$N$34,MATCH(A161,'Pivot Table'!$I$5:$I$34,0))&lt;=10,"Top 10","")</f>
        <v/>
      </c>
      <c r="L161" s="17">
        <f t="shared" si="34"/>
        <v>1397.93</v>
      </c>
      <c r="M161" s="17">
        <f t="shared" si="35"/>
        <v>1258.1400000000001</v>
      </c>
      <c r="N161" s="17">
        <f t="shared" si="36"/>
        <v>587.14</v>
      </c>
      <c r="O161" s="19">
        <f t="shared" si="37"/>
        <v>0.40000357672979597</v>
      </c>
      <c r="P161" s="20">
        <f t="shared" si="38"/>
        <v>45658</v>
      </c>
      <c r="Q161" s="18" t="str">
        <f>IF(J161&gt;='Pivot Table'!$R$4,"High Value","Standard")</f>
        <v>Standard</v>
      </c>
      <c r="R161" s="21">
        <f t="shared" ca="1" si="39"/>
        <v>46304.639624537034</v>
      </c>
      <c r="AD161" s="44">
        <v>99</v>
      </c>
      <c r="AE161" s="39">
        <v>289.10179182800141</v>
      </c>
      <c r="AF161" s="39">
        <v>8.5882081719985877</v>
      </c>
      <c r="AG161" s="45">
        <v>9.9788426745606632E-2</v>
      </c>
    </row>
    <row r="162" spans="1:33" ht="15.75" customHeight="1" x14ac:dyDescent="0.3">
      <c r="A162" s="11" t="s">
        <v>143</v>
      </c>
      <c r="B162" s="12" t="s">
        <v>90</v>
      </c>
      <c r="C162" s="11" t="s">
        <v>47</v>
      </c>
      <c r="D162" s="11" t="s">
        <v>28</v>
      </c>
      <c r="E162" s="13">
        <v>1622.62</v>
      </c>
      <c r="F162" s="14">
        <v>12</v>
      </c>
      <c r="G162" s="15">
        <v>0.2</v>
      </c>
      <c r="H162" s="16">
        <v>45677</v>
      </c>
      <c r="I162" s="13">
        <v>649.04999999999995</v>
      </c>
      <c r="J162" s="17">
        <f t="shared" ref="J162:J193" si="40">SUMIFS($E$2:$E$201,$A$2:$A$201,A162)</f>
        <v>7583.1299999999992</v>
      </c>
      <c r="K162" s="18" t="str">
        <f>IF(INDEX('Pivot Table'!$N$5:$N$34,MATCH(A162,'Pivot Table'!$I$5:$I$34,0))&lt;=10,"Top 10","")</f>
        <v/>
      </c>
      <c r="L162" s="17">
        <f t="shared" ref="L162:L193" si="41">ROUND(E162/(1-G162),2)</f>
        <v>2028.28</v>
      </c>
      <c r="M162" s="17">
        <f t="shared" ref="M162:M193" si="42">ROUND(L162*(1-$U$3),2)</f>
        <v>1825.45</v>
      </c>
      <c r="N162" s="17">
        <f t="shared" ref="N162:N193" si="43">ROUND(M162-(E162-I162),2)</f>
        <v>851.88</v>
      </c>
      <c r="O162" s="19">
        <f t="shared" ref="O162:O193" si="44">I162/E162</f>
        <v>0.40000123257447834</v>
      </c>
      <c r="P162" s="20">
        <f t="shared" ref="P162:P193" si="45">DATE(YEAR(H162),MONTH(H162),1)</f>
        <v>45658</v>
      </c>
      <c r="Q162" s="18" t="str">
        <f>IF(J162&gt;='Pivot Table'!$R$4,"High Value","Standard")</f>
        <v>Standard</v>
      </c>
      <c r="R162" s="21">
        <f t="shared" ref="R162:R193" ca="1" si="46">NOW()</f>
        <v>46304.639624537034</v>
      </c>
      <c r="AD162" s="44">
        <v>100</v>
      </c>
      <c r="AE162" s="39">
        <v>315.50721349956638</v>
      </c>
      <c r="AF162" s="39">
        <v>135.59278650043359</v>
      </c>
      <c r="AG162" s="45">
        <v>1.575484731151138</v>
      </c>
    </row>
    <row r="163" spans="1:33" ht="15.75" customHeight="1" x14ac:dyDescent="0.3">
      <c r="A163" s="11" t="s">
        <v>163</v>
      </c>
      <c r="B163" s="12" t="s">
        <v>85</v>
      </c>
      <c r="C163" s="11" t="s">
        <v>47</v>
      </c>
      <c r="D163" s="11" t="s">
        <v>25</v>
      </c>
      <c r="E163" s="13">
        <v>640.64</v>
      </c>
      <c r="F163" s="14">
        <v>11</v>
      </c>
      <c r="G163" s="15">
        <v>0.2</v>
      </c>
      <c r="H163" s="16">
        <v>45678</v>
      </c>
      <c r="I163" s="13">
        <v>205</v>
      </c>
      <c r="J163" s="17">
        <f t="shared" si="40"/>
        <v>4951.8899999999994</v>
      </c>
      <c r="K163" s="18" t="str">
        <f>IF(INDEX('Pivot Table'!$N$5:$N$34,MATCH(A163,'Pivot Table'!$I$5:$I$34,0))&lt;=10,"Top 10","")</f>
        <v/>
      </c>
      <c r="L163" s="17">
        <f t="shared" si="41"/>
        <v>800.8</v>
      </c>
      <c r="M163" s="17">
        <f t="shared" si="42"/>
        <v>720.72</v>
      </c>
      <c r="N163" s="17">
        <f t="shared" si="43"/>
        <v>285.08</v>
      </c>
      <c r="O163" s="19">
        <f t="shared" si="44"/>
        <v>0.31999250749250752</v>
      </c>
      <c r="P163" s="20">
        <f t="shared" si="45"/>
        <v>45658</v>
      </c>
      <c r="Q163" s="18" t="str">
        <f>IF(J163&gt;='Pivot Table'!$R$4,"High Value","Standard")</f>
        <v>Standard</v>
      </c>
      <c r="R163" s="21">
        <f t="shared" ca="1" si="46"/>
        <v>46304.639624537034</v>
      </c>
      <c r="AD163" s="44">
        <v>101</v>
      </c>
      <c r="AE163" s="39">
        <v>204.55953291250469</v>
      </c>
      <c r="AF163" s="39">
        <v>6.3904670874952956</v>
      </c>
      <c r="AG163" s="45">
        <v>7.4252352069190078E-2</v>
      </c>
    </row>
    <row r="164" spans="1:33" ht="15.75" customHeight="1" x14ac:dyDescent="0.3">
      <c r="A164" s="11" t="s">
        <v>45</v>
      </c>
      <c r="B164" s="12" t="s">
        <v>80</v>
      </c>
      <c r="C164" s="11" t="s">
        <v>24</v>
      </c>
      <c r="D164" s="11" t="s">
        <v>28</v>
      </c>
      <c r="E164" s="13">
        <v>585.16</v>
      </c>
      <c r="F164" s="14">
        <v>17</v>
      </c>
      <c r="G164" s="15">
        <v>0.1</v>
      </c>
      <c r="H164" s="16">
        <v>45684</v>
      </c>
      <c r="I164" s="13">
        <v>263.32</v>
      </c>
      <c r="J164" s="17">
        <f t="shared" si="40"/>
        <v>7928.71</v>
      </c>
      <c r="K164" s="18" t="str">
        <f>IF(INDEX('Pivot Table'!$N$5:$N$34,MATCH(A164,'Pivot Table'!$I$5:$I$34,0))&lt;=10,"Top 10","")</f>
        <v>Top 10</v>
      </c>
      <c r="L164" s="17">
        <f t="shared" si="41"/>
        <v>650.17999999999995</v>
      </c>
      <c r="M164" s="17">
        <f t="shared" si="42"/>
        <v>585.16</v>
      </c>
      <c r="N164" s="17">
        <f t="shared" si="43"/>
        <v>263.32</v>
      </c>
      <c r="O164" s="19">
        <f t="shared" si="44"/>
        <v>0.44999658213138288</v>
      </c>
      <c r="P164" s="20">
        <f t="shared" si="45"/>
        <v>45658</v>
      </c>
      <c r="Q164" s="18" t="str">
        <f>IF(J164&gt;='Pivot Table'!$R$4,"High Value","Standard")</f>
        <v>Standard</v>
      </c>
      <c r="R164" s="21">
        <f t="shared" ca="1" si="46"/>
        <v>46304.639624537034</v>
      </c>
      <c r="AD164" s="44">
        <v>102</v>
      </c>
      <c r="AE164" s="39">
        <v>346.38254046073718</v>
      </c>
      <c r="AF164" s="39">
        <v>99.2074595392628</v>
      </c>
      <c r="AG164" s="45">
        <v>1.152714991367944</v>
      </c>
    </row>
    <row r="165" spans="1:33" ht="15.75" customHeight="1" x14ac:dyDescent="0.3">
      <c r="A165" s="11" t="s">
        <v>45</v>
      </c>
      <c r="B165" s="12" t="s">
        <v>59</v>
      </c>
      <c r="C165" s="11" t="s">
        <v>33</v>
      </c>
      <c r="D165" s="11" t="s">
        <v>28</v>
      </c>
      <c r="E165" s="13">
        <v>1109.98</v>
      </c>
      <c r="F165" s="14">
        <v>5</v>
      </c>
      <c r="G165" s="15">
        <v>0.2</v>
      </c>
      <c r="H165" s="16">
        <v>45690</v>
      </c>
      <c r="I165" s="13">
        <v>443.99</v>
      </c>
      <c r="J165" s="17">
        <f t="shared" si="40"/>
        <v>7928.71</v>
      </c>
      <c r="K165" s="18" t="str">
        <f>IF(INDEX('Pivot Table'!$N$5:$N$34,MATCH(A165,'Pivot Table'!$I$5:$I$34,0))&lt;=10,"Top 10","")</f>
        <v>Top 10</v>
      </c>
      <c r="L165" s="17">
        <f t="shared" si="41"/>
        <v>1387.48</v>
      </c>
      <c r="M165" s="17">
        <f t="shared" si="42"/>
        <v>1248.73</v>
      </c>
      <c r="N165" s="17">
        <f t="shared" si="43"/>
        <v>582.74</v>
      </c>
      <c r="O165" s="19">
        <f t="shared" si="44"/>
        <v>0.39999819816573273</v>
      </c>
      <c r="P165" s="20">
        <f t="shared" si="45"/>
        <v>45689</v>
      </c>
      <c r="Q165" s="18" t="str">
        <f>IF(J165&gt;='Pivot Table'!$R$4,"High Value","Standard")</f>
        <v>Standard</v>
      </c>
      <c r="R165" s="21">
        <f t="shared" ca="1" si="46"/>
        <v>46304.639624537034</v>
      </c>
      <c r="AD165" s="44">
        <v>103</v>
      </c>
      <c r="AE165" s="39">
        <v>354.76799857860061</v>
      </c>
      <c r="AF165" s="39">
        <v>-151.94799857860059</v>
      </c>
      <c r="AG165" s="45">
        <v>-1.76551981759586</v>
      </c>
    </row>
    <row r="166" spans="1:33" ht="15.75" customHeight="1" x14ac:dyDescent="0.3">
      <c r="A166" s="11" t="s">
        <v>95</v>
      </c>
      <c r="B166" s="12" t="s">
        <v>82</v>
      </c>
      <c r="C166" s="11" t="s">
        <v>33</v>
      </c>
      <c r="D166" s="11" t="s">
        <v>25</v>
      </c>
      <c r="E166" s="13">
        <v>1098.08</v>
      </c>
      <c r="F166" s="14">
        <v>9</v>
      </c>
      <c r="G166" s="15">
        <v>0.1</v>
      </c>
      <c r="H166" s="16">
        <v>45692</v>
      </c>
      <c r="I166" s="13">
        <v>395.31</v>
      </c>
      <c r="J166" s="17">
        <f t="shared" si="40"/>
        <v>11611.060000000001</v>
      </c>
      <c r="K166" s="18" t="str">
        <f>IF(INDEX('Pivot Table'!$N$5:$N$34,MATCH(A166,'Pivot Table'!$I$5:$I$34,0))&lt;=10,"Top 10","")</f>
        <v>Top 10</v>
      </c>
      <c r="L166" s="17">
        <f t="shared" si="41"/>
        <v>1220.0899999999999</v>
      </c>
      <c r="M166" s="17">
        <f t="shared" si="42"/>
        <v>1098.08</v>
      </c>
      <c r="N166" s="17">
        <f t="shared" si="43"/>
        <v>395.31</v>
      </c>
      <c r="O166" s="19">
        <f t="shared" si="44"/>
        <v>0.36000109281655257</v>
      </c>
      <c r="P166" s="20">
        <f t="shared" si="45"/>
        <v>45689</v>
      </c>
      <c r="Q166" s="18" t="str">
        <f>IF(J166&gt;='Pivot Table'!$R$4,"High Value","Standard")</f>
        <v>High Value</v>
      </c>
      <c r="R166" s="21">
        <f t="shared" ca="1" si="46"/>
        <v>46304.639624537034</v>
      </c>
      <c r="AD166" s="44">
        <v>104</v>
      </c>
      <c r="AE166" s="39">
        <v>323.61198682687359</v>
      </c>
      <c r="AF166" s="39">
        <v>-92.291986826873654</v>
      </c>
      <c r="AG166" s="45">
        <v>-1.072362474480723</v>
      </c>
    </row>
    <row r="167" spans="1:33" ht="15.75" customHeight="1" x14ac:dyDescent="0.3">
      <c r="A167" s="11" t="s">
        <v>114</v>
      </c>
      <c r="B167" s="12" t="s">
        <v>85</v>
      </c>
      <c r="C167" s="11" t="s">
        <v>24</v>
      </c>
      <c r="D167" s="11" t="s">
        <v>69</v>
      </c>
      <c r="E167" s="13">
        <v>827.25</v>
      </c>
      <c r="F167" s="14">
        <v>7</v>
      </c>
      <c r="G167" s="15">
        <v>0.1</v>
      </c>
      <c r="H167" s="16">
        <v>45693</v>
      </c>
      <c r="I167" s="13">
        <v>335.04</v>
      </c>
      <c r="J167" s="17">
        <f t="shared" si="40"/>
        <v>6481.43</v>
      </c>
      <c r="K167" s="18" t="str">
        <f>IF(INDEX('Pivot Table'!$N$5:$N$34,MATCH(A167,'Pivot Table'!$I$5:$I$34,0))&lt;=10,"Top 10","")</f>
        <v/>
      </c>
      <c r="L167" s="17">
        <f t="shared" si="41"/>
        <v>919.17</v>
      </c>
      <c r="M167" s="17">
        <f t="shared" si="42"/>
        <v>827.25</v>
      </c>
      <c r="N167" s="17">
        <f t="shared" si="43"/>
        <v>335.04</v>
      </c>
      <c r="O167" s="19">
        <f t="shared" si="44"/>
        <v>0.40500453309156847</v>
      </c>
      <c r="P167" s="20">
        <f t="shared" si="45"/>
        <v>45689</v>
      </c>
      <c r="Q167" s="18" t="str">
        <f>IF(J167&gt;='Pivot Table'!$R$4,"High Value","Standard")</f>
        <v>Standard</v>
      </c>
      <c r="R167" s="21">
        <f t="shared" ca="1" si="46"/>
        <v>46304.639624537034</v>
      </c>
      <c r="AD167" s="44">
        <v>105</v>
      </c>
      <c r="AE167" s="39">
        <v>450.35871256236169</v>
      </c>
      <c r="AF167" s="39">
        <v>-6.8712562361668006E-2</v>
      </c>
      <c r="AG167" s="45">
        <v>-7.9838755167652012E-4</v>
      </c>
    </row>
    <row r="168" spans="1:33" ht="15.75" customHeight="1" x14ac:dyDescent="0.3">
      <c r="A168" s="11" t="s">
        <v>143</v>
      </c>
      <c r="B168" s="12" t="s">
        <v>56</v>
      </c>
      <c r="C168" s="11" t="s">
        <v>63</v>
      </c>
      <c r="D168" s="11" t="s">
        <v>28</v>
      </c>
      <c r="E168" s="13">
        <v>741.88</v>
      </c>
      <c r="F168" s="14">
        <v>16</v>
      </c>
      <c r="G168" s="15">
        <v>0.1</v>
      </c>
      <c r="H168" s="16">
        <v>45695</v>
      </c>
      <c r="I168" s="13">
        <v>333.85</v>
      </c>
      <c r="J168" s="17">
        <f t="shared" si="40"/>
        <v>7583.1299999999992</v>
      </c>
      <c r="K168" s="18" t="str">
        <f>IF(INDEX('Pivot Table'!$N$5:$N$34,MATCH(A168,'Pivot Table'!$I$5:$I$34,0))&lt;=10,"Top 10","")</f>
        <v/>
      </c>
      <c r="L168" s="17">
        <f t="shared" si="41"/>
        <v>824.31</v>
      </c>
      <c r="M168" s="17">
        <f t="shared" si="42"/>
        <v>741.88</v>
      </c>
      <c r="N168" s="17">
        <f t="shared" si="43"/>
        <v>333.85</v>
      </c>
      <c r="O168" s="19">
        <f t="shared" si="44"/>
        <v>0.45000539170755383</v>
      </c>
      <c r="P168" s="20">
        <f t="shared" si="45"/>
        <v>45689</v>
      </c>
      <c r="Q168" s="18" t="str">
        <f>IF(J168&gt;='Pivot Table'!$R$4,"High Value","Standard")</f>
        <v>Standard</v>
      </c>
      <c r="R168" s="21">
        <f t="shared" ca="1" si="46"/>
        <v>46304.639624537034</v>
      </c>
      <c r="AD168" s="44">
        <v>106</v>
      </c>
      <c r="AE168" s="39">
        <v>336.35858487800249</v>
      </c>
      <c r="AF168" s="39">
        <v>-28.638584878002462</v>
      </c>
      <c r="AG168" s="45">
        <v>-0.33275850700895848</v>
      </c>
    </row>
    <row r="169" spans="1:33" ht="15.75" customHeight="1" x14ac:dyDescent="0.3">
      <c r="A169" s="11" t="s">
        <v>153</v>
      </c>
      <c r="B169" s="12" t="s">
        <v>23</v>
      </c>
      <c r="C169" s="11" t="s">
        <v>33</v>
      </c>
      <c r="D169" s="11" t="s">
        <v>69</v>
      </c>
      <c r="E169" s="13">
        <v>1311.26</v>
      </c>
      <c r="F169" s="14">
        <v>6</v>
      </c>
      <c r="G169" s="15">
        <v>0.1</v>
      </c>
      <c r="H169" s="16">
        <v>45698</v>
      </c>
      <c r="I169" s="13">
        <v>531.05999999999995</v>
      </c>
      <c r="J169" s="17">
        <f t="shared" si="40"/>
        <v>7813.59</v>
      </c>
      <c r="K169" s="18" t="str">
        <f>IF(INDEX('Pivot Table'!$N$5:$N$34,MATCH(A169,'Pivot Table'!$I$5:$I$34,0))&lt;=10,"Top 10","")</f>
        <v>Top 10</v>
      </c>
      <c r="L169" s="17">
        <f t="shared" si="41"/>
        <v>1456.96</v>
      </c>
      <c r="M169" s="17">
        <f t="shared" si="42"/>
        <v>1311.26</v>
      </c>
      <c r="N169" s="17">
        <f t="shared" si="43"/>
        <v>531.05999999999995</v>
      </c>
      <c r="O169" s="19">
        <f t="shared" si="44"/>
        <v>0.40499977121242159</v>
      </c>
      <c r="P169" s="20">
        <f t="shared" si="45"/>
        <v>45689</v>
      </c>
      <c r="Q169" s="18" t="str">
        <f>IF(J169&gt;='Pivot Table'!$R$4,"High Value","Standard")</f>
        <v>Standard</v>
      </c>
      <c r="R169" s="21">
        <f t="shared" ca="1" si="46"/>
        <v>46304.639624537034</v>
      </c>
      <c r="AD169" s="44">
        <v>107</v>
      </c>
      <c r="AE169" s="39">
        <v>378.29289258708349</v>
      </c>
      <c r="AF169" s="39">
        <v>-10.70289258708357</v>
      </c>
      <c r="AG169" s="45">
        <v>-0.12435944628991701</v>
      </c>
    </row>
    <row r="170" spans="1:33" ht="15.75" customHeight="1" x14ac:dyDescent="0.3">
      <c r="A170" s="11" t="s">
        <v>153</v>
      </c>
      <c r="B170" s="12" t="s">
        <v>59</v>
      </c>
      <c r="C170" s="11" t="s">
        <v>41</v>
      </c>
      <c r="D170" s="11" t="s">
        <v>69</v>
      </c>
      <c r="E170" s="13">
        <v>573.32000000000005</v>
      </c>
      <c r="F170" s="14">
        <v>19</v>
      </c>
      <c r="G170" s="15">
        <v>0.1</v>
      </c>
      <c r="H170" s="16">
        <v>45703</v>
      </c>
      <c r="I170" s="13">
        <v>232.19</v>
      </c>
      <c r="J170" s="17">
        <f t="shared" si="40"/>
        <v>7813.59</v>
      </c>
      <c r="K170" s="18" t="str">
        <f>IF(INDEX('Pivot Table'!$N$5:$N$34,MATCH(A170,'Pivot Table'!$I$5:$I$34,0))&lt;=10,"Top 10","")</f>
        <v>Top 10</v>
      </c>
      <c r="L170" s="17">
        <f t="shared" si="41"/>
        <v>637.02</v>
      </c>
      <c r="M170" s="17">
        <f t="shared" si="42"/>
        <v>573.32000000000005</v>
      </c>
      <c r="N170" s="17">
        <f t="shared" si="43"/>
        <v>232.19</v>
      </c>
      <c r="O170" s="19">
        <f t="shared" si="44"/>
        <v>0.40499197655759434</v>
      </c>
      <c r="P170" s="20">
        <f t="shared" si="45"/>
        <v>45689</v>
      </c>
      <c r="Q170" s="18" t="str">
        <f>IF(J170&gt;='Pivot Table'!$R$4,"High Value","Standard")</f>
        <v>Standard</v>
      </c>
      <c r="R170" s="21">
        <f t="shared" ca="1" si="46"/>
        <v>46304.639624537034</v>
      </c>
      <c r="AD170" s="44">
        <v>108</v>
      </c>
      <c r="AE170" s="39">
        <v>673.8960797612383</v>
      </c>
      <c r="AF170" s="39">
        <v>95.563920238761739</v>
      </c>
      <c r="AG170" s="45">
        <v>1.1103798444663779</v>
      </c>
    </row>
    <row r="171" spans="1:33" ht="15.75" customHeight="1" x14ac:dyDescent="0.3">
      <c r="A171" s="11" t="s">
        <v>89</v>
      </c>
      <c r="B171" s="12" t="s">
        <v>46</v>
      </c>
      <c r="C171" s="11" t="s">
        <v>24</v>
      </c>
      <c r="D171" s="11" t="s">
        <v>42</v>
      </c>
      <c r="E171" s="13">
        <v>1115.22</v>
      </c>
      <c r="F171" s="14">
        <v>14</v>
      </c>
      <c r="G171" s="15">
        <v>0.2</v>
      </c>
      <c r="H171" s="16">
        <v>45705</v>
      </c>
      <c r="I171" s="13">
        <v>223.04</v>
      </c>
      <c r="J171" s="17">
        <f t="shared" si="40"/>
        <v>10293.870000000001</v>
      </c>
      <c r="K171" s="18" t="str">
        <f>IF(INDEX('Pivot Table'!$N$5:$N$34,MATCH(A171,'Pivot Table'!$I$5:$I$34,0))&lt;=10,"Top 10","")</f>
        <v>Top 10</v>
      </c>
      <c r="L171" s="17">
        <f t="shared" si="41"/>
        <v>1394.03</v>
      </c>
      <c r="M171" s="17">
        <f t="shared" si="42"/>
        <v>1254.6300000000001</v>
      </c>
      <c r="N171" s="17">
        <f t="shared" si="43"/>
        <v>362.45</v>
      </c>
      <c r="O171" s="19">
        <f t="shared" si="44"/>
        <v>0.19999641326375064</v>
      </c>
      <c r="P171" s="20">
        <f t="shared" si="45"/>
        <v>45689</v>
      </c>
      <c r="Q171" s="18" t="str">
        <f>IF(J171&gt;='Pivot Table'!$R$4,"High Value","Standard")</f>
        <v>High Value</v>
      </c>
      <c r="R171" s="21">
        <f t="shared" ca="1" si="46"/>
        <v>46304.639624537034</v>
      </c>
      <c r="AD171" s="44">
        <v>109</v>
      </c>
      <c r="AE171" s="39">
        <v>254.64071666747651</v>
      </c>
      <c r="AF171" s="39">
        <v>73.279283332523534</v>
      </c>
      <c r="AG171" s="45">
        <v>0.85144936526339243</v>
      </c>
    </row>
    <row r="172" spans="1:33" ht="15.75" customHeight="1" x14ac:dyDescent="0.3">
      <c r="A172" s="11" t="s">
        <v>26</v>
      </c>
      <c r="B172" s="12" t="s">
        <v>82</v>
      </c>
      <c r="C172" s="11" t="s">
        <v>47</v>
      </c>
      <c r="D172" s="11" t="s">
        <v>28</v>
      </c>
      <c r="E172" s="13">
        <v>845.84</v>
      </c>
      <c r="F172" s="14">
        <v>4</v>
      </c>
      <c r="G172" s="15">
        <v>0</v>
      </c>
      <c r="H172" s="16">
        <v>45707</v>
      </c>
      <c r="I172" s="13">
        <v>422.92</v>
      </c>
      <c r="J172" s="17">
        <f t="shared" si="40"/>
        <v>8339</v>
      </c>
      <c r="K172" s="18" t="str">
        <f>IF(INDEX('Pivot Table'!$N$5:$N$34,MATCH(A172,'Pivot Table'!$I$5:$I$34,0))&lt;=10,"Top 10","")</f>
        <v>Top 10</v>
      </c>
      <c r="L172" s="17">
        <f t="shared" si="41"/>
        <v>845.84</v>
      </c>
      <c r="M172" s="17">
        <f t="shared" si="42"/>
        <v>761.26</v>
      </c>
      <c r="N172" s="17">
        <f t="shared" si="43"/>
        <v>338.34</v>
      </c>
      <c r="O172" s="19">
        <f t="shared" si="44"/>
        <v>0.5</v>
      </c>
      <c r="P172" s="20">
        <f t="shared" si="45"/>
        <v>45689</v>
      </c>
      <c r="Q172" s="18" t="str">
        <f>IF(J172&gt;='Pivot Table'!$R$4,"High Value","Standard")</f>
        <v>High Value</v>
      </c>
      <c r="R172" s="21">
        <f t="shared" ca="1" si="46"/>
        <v>46304.639624537034</v>
      </c>
      <c r="AD172" s="44">
        <v>110</v>
      </c>
      <c r="AE172" s="39">
        <v>455.74435198115691</v>
      </c>
      <c r="AF172" s="39">
        <v>97.555648018843101</v>
      </c>
      <c r="AG172" s="45">
        <v>1.1335222017194151</v>
      </c>
    </row>
    <row r="173" spans="1:33" ht="15.75" customHeight="1" x14ac:dyDescent="0.3">
      <c r="A173" s="11" t="s">
        <v>58</v>
      </c>
      <c r="B173" s="12" t="s">
        <v>92</v>
      </c>
      <c r="C173" s="11" t="s">
        <v>24</v>
      </c>
      <c r="D173" s="11" t="s">
        <v>42</v>
      </c>
      <c r="E173" s="13">
        <v>1029.8</v>
      </c>
      <c r="F173" s="14">
        <v>3</v>
      </c>
      <c r="G173" s="15">
        <v>0</v>
      </c>
      <c r="H173" s="16">
        <v>45708</v>
      </c>
      <c r="I173" s="13">
        <v>257.45</v>
      </c>
      <c r="J173" s="17">
        <f t="shared" si="40"/>
        <v>9371.81</v>
      </c>
      <c r="K173" s="18" t="str">
        <f>IF(INDEX('Pivot Table'!$N$5:$N$34,MATCH(A173,'Pivot Table'!$I$5:$I$34,0))&lt;=10,"Top 10","")</f>
        <v>Top 10</v>
      </c>
      <c r="L173" s="17">
        <f t="shared" si="41"/>
        <v>1029.8</v>
      </c>
      <c r="M173" s="17">
        <f t="shared" si="42"/>
        <v>926.82</v>
      </c>
      <c r="N173" s="17">
        <f t="shared" si="43"/>
        <v>154.47</v>
      </c>
      <c r="O173" s="19">
        <f t="shared" si="44"/>
        <v>0.25</v>
      </c>
      <c r="P173" s="20">
        <f t="shared" si="45"/>
        <v>45689</v>
      </c>
      <c r="Q173" s="18" t="str">
        <f>IF(J173&gt;='Pivot Table'!$R$4,"High Value","Standard")</f>
        <v>High Value</v>
      </c>
      <c r="R173" s="21">
        <f t="shared" ca="1" si="46"/>
        <v>46304.639624537034</v>
      </c>
      <c r="AD173" s="44">
        <v>111</v>
      </c>
      <c r="AE173" s="39">
        <v>342.87047201890391</v>
      </c>
      <c r="AF173" s="39">
        <v>9.9895279810961028</v>
      </c>
      <c r="AG173" s="45">
        <v>0.11607069381654481</v>
      </c>
    </row>
    <row r="174" spans="1:33" ht="15.75" customHeight="1" x14ac:dyDescent="0.3">
      <c r="A174" s="11" t="s">
        <v>61</v>
      </c>
      <c r="B174" s="12" t="s">
        <v>59</v>
      </c>
      <c r="C174" s="11" t="s">
        <v>47</v>
      </c>
      <c r="D174" s="11" t="s">
        <v>25</v>
      </c>
      <c r="E174" s="13">
        <v>1189.83</v>
      </c>
      <c r="F174" s="14">
        <v>2</v>
      </c>
      <c r="G174" s="15">
        <v>0.2</v>
      </c>
      <c r="H174" s="16">
        <v>45709</v>
      </c>
      <c r="I174" s="13">
        <v>380.75</v>
      </c>
      <c r="J174" s="17">
        <f t="shared" si="40"/>
        <v>6505.2</v>
      </c>
      <c r="K174" s="18" t="str">
        <f>IF(INDEX('Pivot Table'!$N$5:$N$34,MATCH(A174,'Pivot Table'!$I$5:$I$34,0))&lt;=10,"Top 10","")</f>
        <v/>
      </c>
      <c r="L174" s="17">
        <f t="shared" si="41"/>
        <v>1487.29</v>
      </c>
      <c r="M174" s="17">
        <f t="shared" si="42"/>
        <v>1338.56</v>
      </c>
      <c r="N174" s="17">
        <f t="shared" si="43"/>
        <v>529.48</v>
      </c>
      <c r="O174" s="19">
        <f t="shared" si="44"/>
        <v>0.32000369800727835</v>
      </c>
      <c r="P174" s="20">
        <f t="shared" si="45"/>
        <v>45689</v>
      </c>
      <c r="Q174" s="18" t="str">
        <f>IF(J174&gt;='Pivot Table'!$R$4,"High Value","Standard")</f>
        <v>Standard</v>
      </c>
      <c r="R174" s="21">
        <f t="shared" ca="1" si="46"/>
        <v>46304.639624537034</v>
      </c>
      <c r="AD174" s="44">
        <v>112</v>
      </c>
      <c r="AE174" s="39">
        <v>243.71506119508041</v>
      </c>
      <c r="AF174" s="39">
        <v>70.194938804919644</v>
      </c>
      <c r="AG174" s="45">
        <v>0.81561163499568423</v>
      </c>
    </row>
    <row r="175" spans="1:33" ht="15.75" customHeight="1" x14ac:dyDescent="0.3">
      <c r="A175" s="11" t="s">
        <v>119</v>
      </c>
      <c r="B175" s="12" t="s">
        <v>80</v>
      </c>
      <c r="C175" s="11" t="s">
        <v>41</v>
      </c>
      <c r="D175" s="11" t="s">
        <v>25</v>
      </c>
      <c r="E175" s="13">
        <v>704.28</v>
      </c>
      <c r="F175" s="14">
        <v>15</v>
      </c>
      <c r="G175" s="15">
        <v>0.2</v>
      </c>
      <c r="H175" s="16">
        <v>45712</v>
      </c>
      <c r="I175" s="13">
        <v>225.37</v>
      </c>
      <c r="J175" s="17">
        <f t="shared" si="40"/>
        <v>8490.18</v>
      </c>
      <c r="K175" s="18" t="str">
        <f>IF(INDEX('Pivot Table'!$N$5:$N$34,MATCH(A175,'Pivot Table'!$I$5:$I$34,0))&lt;=10,"Top 10","")</f>
        <v>Top 10</v>
      </c>
      <c r="L175" s="17">
        <f t="shared" si="41"/>
        <v>880.35</v>
      </c>
      <c r="M175" s="17">
        <f t="shared" si="42"/>
        <v>792.32</v>
      </c>
      <c r="N175" s="17">
        <f t="shared" si="43"/>
        <v>313.41000000000003</v>
      </c>
      <c r="O175" s="19">
        <f t="shared" si="44"/>
        <v>0.32000056795592663</v>
      </c>
      <c r="P175" s="20">
        <f t="shared" si="45"/>
        <v>45689</v>
      </c>
      <c r="Q175" s="18" t="str">
        <f>IF(J175&gt;='Pivot Table'!$R$4,"High Value","Standard")</f>
        <v>High Value</v>
      </c>
      <c r="R175" s="21">
        <f t="shared" ca="1" si="46"/>
        <v>46304.639624537034</v>
      </c>
      <c r="AD175" s="44">
        <v>113</v>
      </c>
      <c r="AE175" s="39">
        <v>417.75366557938901</v>
      </c>
      <c r="AF175" s="39">
        <v>-62.653665579388928</v>
      </c>
      <c r="AG175" s="45">
        <v>-0.72798779358857113</v>
      </c>
    </row>
    <row r="176" spans="1:33" ht="15.75" customHeight="1" x14ac:dyDescent="0.3">
      <c r="A176" s="11" t="s">
        <v>114</v>
      </c>
      <c r="B176" s="12" t="s">
        <v>84</v>
      </c>
      <c r="C176" s="11" t="s">
        <v>63</v>
      </c>
      <c r="D176" s="11" t="s">
        <v>69</v>
      </c>
      <c r="E176" s="13">
        <v>1618.22</v>
      </c>
      <c r="F176" s="14">
        <v>12</v>
      </c>
      <c r="G176" s="15">
        <v>0.2</v>
      </c>
      <c r="H176" s="16">
        <v>45712</v>
      </c>
      <c r="I176" s="13">
        <v>582.55999999999995</v>
      </c>
      <c r="J176" s="17">
        <f t="shared" si="40"/>
        <v>6481.43</v>
      </c>
      <c r="K176" s="18" t="str">
        <f>IF(INDEX('Pivot Table'!$N$5:$N$34,MATCH(A176,'Pivot Table'!$I$5:$I$34,0))&lt;=10,"Top 10","")</f>
        <v/>
      </c>
      <c r="L176" s="17">
        <f t="shared" si="41"/>
        <v>2022.78</v>
      </c>
      <c r="M176" s="17">
        <f t="shared" si="42"/>
        <v>1820.5</v>
      </c>
      <c r="N176" s="17">
        <f t="shared" si="43"/>
        <v>784.84</v>
      </c>
      <c r="O176" s="19">
        <f t="shared" si="44"/>
        <v>0.36000049437035753</v>
      </c>
      <c r="P176" s="20">
        <f t="shared" si="45"/>
        <v>45689</v>
      </c>
      <c r="Q176" s="18" t="str">
        <f>IF(J176&gt;='Pivot Table'!$R$4,"High Value","Standard")</f>
        <v>Standard</v>
      </c>
      <c r="R176" s="21">
        <f t="shared" ca="1" si="46"/>
        <v>46304.639624537034</v>
      </c>
      <c r="AD176" s="44">
        <v>114</v>
      </c>
      <c r="AE176" s="39">
        <v>269.48543352801209</v>
      </c>
      <c r="AF176" s="39">
        <v>-76.725433528012104</v>
      </c>
      <c r="AG176" s="45">
        <v>-0.89149100135904413</v>
      </c>
    </row>
    <row r="177" spans="1:33" ht="15.75" customHeight="1" x14ac:dyDescent="0.3">
      <c r="A177" s="11" t="s">
        <v>161</v>
      </c>
      <c r="B177" s="12" t="s">
        <v>90</v>
      </c>
      <c r="C177" s="11" t="s">
        <v>63</v>
      </c>
      <c r="D177" s="11" t="s">
        <v>25</v>
      </c>
      <c r="E177" s="13">
        <v>1014.43</v>
      </c>
      <c r="F177" s="14">
        <v>2</v>
      </c>
      <c r="G177" s="15">
        <v>0.15</v>
      </c>
      <c r="H177" s="16">
        <v>45713</v>
      </c>
      <c r="I177" s="13">
        <v>344.91</v>
      </c>
      <c r="J177" s="17">
        <f t="shared" si="40"/>
        <v>4162.4400000000005</v>
      </c>
      <c r="K177" s="18" t="str">
        <f>IF(INDEX('Pivot Table'!$N$5:$N$34,MATCH(A177,'Pivot Table'!$I$5:$I$34,0))&lt;=10,"Top 10","")</f>
        <v/>
      </c>
      <c r="L177" s="17">
        <f t="shared" si="41"/>
        <v>1193.45</v>
      </c>
      <c r="M177" s="17">
        <f t="shared" si="42"/>
        <v>1074.1099999999999</v>
      </c>
      <c r="N177" s="17">
        <f t="shared" si="43"/>
        <v>404.59</v>
      </c>
      <c r="O177" s="19">
        <f t="shared" si="44"/>
        <v>0.34000374594599925</v>
      </c>
      <c r="P177" s="20">
        <f t="shared" si="45"/>
        <v>45689</v>
      </c>
      <c r="Q177" s="18" t="str">
        <f>IF(J177&gt;='Pivot Table'!$R$4,"High Value","Standard")</f>
        <v>Standard</v>
      </c>
      <c r="R177" s="21">
        <f t="shared" ca="1" si="46"/>
        <v>46304.639624537034</v>
      </c>
      <c r="AD177" s="44">
        <v>115</v>
      </c>
      <c r="AE177" s="39">
        <v>230.91583474572229</v>
      </c>
      <c r="AF177" s="39">
        <v>33.524165254277698</v>
      </c>
      <c r="AG177" s="45">
        <v>0.38952522361898012</v>
      </c>
    </row>
    <row r="178" spans="1:33" ht="15.75" customHeight="1" x14ac:dyDescent="0.3">
      <c r="A178" s="11" t="s">
        <v>163</v>
      </c>
      <c r="B178" s="12" t="s">
        <v>59</v>
      </c>
      <c r="C178" s="11" t="s">
        <v>63</v>
      </c>
      <c r="D178" s="11" t="s">
        <v>28</v>
      </c>
      <c r="E178" s="13">
        <v>826.97</v>
      </c>
      <c r="F178" s="14">
        <v>18</v>
      </c>
      <c r="G178" s="15">
        <v>0.2</v>
      </c>
      <c r="H178" s="16">
        <v>45715</v>
      </c>
      <c r="I178" s="13">
        <v>330.79</v>
      </c>
      <c r="J178" s="17">
        <f t="shared" si="40"/>
        <v>4951.8899999999994</v>
      </c>
      <c r="K178" s="18" t="str">
        <f>IF(INDEX('Pivot Table'!$N$5:$N$34,MATCH(A178,'Pivot Table'!$I$5:$I$34,0))&lt;=10,"Top 10","")</f>
        <v/>
      </c>
      <c r="L178" s="17">
        <f t="shared" si="41"/>
        <v>1033.71</v>
      </c>
      <c r="M178" s="17">
        <f t="shared" si="42"/>
        <v>930.34</v>
      </c>
      <c r="N178" s="17">
        <f t="shared" si="43"/>
        <v>434.16</v>
      </c>
      <c r="O178" s="19">
        <f t="shared" si="44"/>
        <v>0.40000241846741719</v>
      </c>
      <c r="P178" s="20">
        <f t="shared" si="45"/>
        <v>45689</v>
      </c>
      <c r="Q178" s="18" t="str">
        <f>IF(J178&gt;='Pivot Table'!$R$4,"High Value","Standard")</f>
        <v>Standard</v>
      </c>
      <c r="R178" s="21">
        <f t="shared" ca="1" si="46"/>
        <v>46304.639624537034</v>
      </c>
      <c r="AD178" s="44">
        <v>116</v>
      </c>
      <c r="AE178" s="39">
        <v>240.648579858255</v>
      </c>
      <c r="AF178" s="39">
        <v>-68.438579858254997</v>
      </c>
      <c r="AG178" s="45">
        <v>-0.79520408401669462</v>
      </c>
    </row>
    <row r="179" spans="1:33" ht="15.75" customHeight="1" x14ac:dyDescent="0.3">
      <c r="A179" s="11" t="s">
        <v>31</v>
      </c>
      <c r="B179" s="12" t="s">
        <v>59</v>
      </c>
      <c r="C179" s="11" t="s">
        <v>63</v>
      </c>
      <c r="D179" s="11" t="s">
        <v>28</v>
      </c>
      <c r="E179" s="13">
        <v>1022.23</v>
      </c>
      <c r="F179" s="14">
        <v>8</v>
      </c>
      <c r="G179" s="15">
        <v>0.1</v>
      </c>
      <c r="H179" s="16">
        <v>45717</v>
      </c>
      <c r="I179" s="13">
        <v>460</v>
      </c>
      <c r="J179" s="17">
        <f t="shared" si="40"/>
        <v>3419.2</v>
      </c>
      <c r="K179" s="18" t="str">
        <f>IF(INDEX('Pivot Table'!$N$5:$N$34,MATCH(A179,'Pivot Table'!$I$5:$I$34,0))&lt;=10,"Top 10","")</f>
        <v/>
      </c>
      <c r="L179" s="17">
        <f t="shared" si="41"/>
        <v>1135.81</v>
      </c>
      <c r="M179" s="17">
        <f t="shared" si="42"/>
        <v>1022.23</v>
      </c>
      <c r="N179" s="17">
        <f t="shared" si="43"/>
        <v>460</v>
      </c>
      <c r="O179" s="19">
        <f t="shared" si="44"/>
        <v>0.44999657611300781</v>
      </c>
      <c r="P179" s="20">
        <f t="shared" si="45"/>
        <v>45717</v>
      </c>
      <c r="Q179" s="18" t="str">
        <f>IF(J179&gt;='Pivot Table'!$R$4,"High Value","Standard")</f>
        <v>Standard</v>
      </c>
      <c r="R179" s="21">
        <f t="shared" ca="1" si="46"/>
        <v>46304.639624537034</v>
      </c>
      <c r="AD179" s="44">
        <v>117</v>
      </c>
      <c r="AE179" s="39">
        <v>437.22266436433631</v>
      </c>
      <c r="AF179" s="39">
        <v>37.437335635663707</v>
      </c>
      <c r="AG179" s="45">
        <v>0.43499327797043202</v>
      </c>
    </row>
    <row r="180" spans="1:33" ht="15.75" customHeight="1" x14ac:dyDescent="0.3">
      <c r="A180" s="11" t="s">
        <v>153</v>
      </c>
      <c r="B180" s="12" t="s">
        <v>56</v>
      </c>
      <c r="C180" s="11" t="s">
        <v>33</v>
      </c>
      <c r="D180" s="11" t="s">
        <v>25</v>
      </c>
      <c r="E180" s="13">
        <v>1099.69</v>
      </c>
      <c r="F180" s="14">
        <v>6</v>
      </c>
      <c r="G180" s="15">
        <v>0</v>
      </c>
      <c r="H180" s="16">
        <v>45718</v>
      </c>
      <c r="I180" s="13">
        <v>439.88</v>
      </c>
      <c r="J180" s="17">
        <f t="shared" si="40"/>
        <v>7813.59</v>
      </c>
      <c r="K180" s="18" t="str">
        <f>IF(INDEX('Pivot Table'!$N$5:$N$34,MATCH(A180,'Pivot Table'!$I$5:$I$34,0))&lt;=10,"Top 10","")</f>
        <v>Top 10</v>
      </c>
      <c r="L180" s="17">
        <f t="shared" si="41"/>
        <v>1099.69</v>
      </c>
      <c r="M180" s="17">
        <f t="shared" si="42"/>
        <v>989.72</v>
      </c>
      <c r="N180" s="17">
        <f t="shared" si="43"/>
        <v>329.91</v>
      </c>
      <c r="O180" s="19">
        <f t="shared" si="44"/>
        <v>0.40000363738871864</v>
      </c>
      <c r="P180" s="20">
        <f t="shared" si="45"/>
        <v>45717</v>
      </c>
      <c r="Q180" s="18" t="str">
        <f>IF(J180&gt;='Pivot Table'!$R$4,"High Value","Standard")</f>
        <v>Standard</v>
      </c>
      <c r="R180" s="21">
        <f t="shared" ca="1" si="46"/>
        <v>46304.639624537034</v>
      </c>
      <c r="AD180" s="44">
        <v>118</v>
      </c>
      <c r="AE180" s="39">
        <v>354.81360985706601</v>
      </c>
      <c r="AF180" s="39">
        <v>78.766390142934029</v>
      </c>
      <c r="AG180" s="45">
        <v>0.91520536011470788</v>
      </c>
    </row>
    <row r="181" spans="1:33" ht="15.75" customHeight="1" x14ac:dyDescent="0.3">
      <c r="A181" s="11" t="s">
        <v>89</v>
      </c>
      <c r="B181" s="12" t="s">
        <v>112</v>
      </c>
      <c r="C181" s="11" t="s">
        <v>47</v>
      </c>
      <c r="D181" s="11" t="s">
        <v>25</v>
      </c>
      <c r="E181" s="13">
        <v>710.52</v>
      </c>
      <c r="F181" s="14">
        <v>8</v>
      </c>
      <c r="G181" s="15">
        <v>0.1</v>
      </c>
      <c r="H181" s="16">
        <v>45721</v>
      </c>
      <c r="I181" s="13">
        <v>255.79</v>
      </c>
      <c r="J181" s="17">
        <f t="shared" si="40"/>
        <v>10293.870000000001</v>
      </c>
      <c r="K181" s="18" t="str">
        <f>IF(INDEX('Pivot Table'!$N$5:$N$34,MATCH(A181,'Pivot Table'!$I$5:$I$34,0))&lt;=10,"Top 10","")</f>
        <v>Top 10</v>
      </c>
      <c r="L181" s="17">
        <f t="shared" si="41"/>
        <v>789.47</v>
      </c>
      <c r="M181" s="17">
        <f t="shared" si="42"/>
        <v>710.52</v>
      </c>
      <c r="N181" s="17">
        <f t="shared" si="43"/>
        <v>255.79</v>
      </c>
      <c r="O181" s="19">
        <f t="shared" si="44"/>
        <v>0.36000394077576986</v>
      </c>
      <c r="P181" s="20">
        <f t="shared" si="45"/>
        <v>45717</v>
      </c>
      <c r="Q181" s="18" t="str">
        <f>IF(J181&gt;='Pivot Table'!$R$4,"High Value","Standard")</f>
        <v>High Value</v>
      </c>
      <c r="R181" s="21">
        <f t="shared" ca="1" si="46"/>
        <v>46304.639624537034</v>
      </c>
      <c r="AD181" s="44">
        <v>119</v>
      </c>
      <c r="AE181" s="39">
        <v>353.53649406003569</v>
      </c>
      <c r="AF181" s="39">
        <v>-9.9364940600356704</v>
      </c>
      <c r="AG181" s="45">
        <v>-0.1154544801150621</v>
      </c>
    </row>
    <row r="182" spans="1:33" ht="15.75" customHeight="1" x14ac:dyDescent="0.3">
      <c r="A182" s="11" t="s">
        <v>89</v>
      </c>
      <c r="B182" s="12" t="s">
        <v>96</v>
      </c>
      <c r="C182" s="11" t="s">
        <v>47</v>
      </c>
      <c r="D182" s="11" t="s">
        <v>25</v>
      </c>
      <c r="E182" s="13">
        <v>499.18</v>
      </c>
      <c r="F182" s="14">
        <v>15</v>
      </c>
      <c r="G182" s="15">
        <v>0.2</v>
      </c>
      <c r="H182" s="16">
        <v>45724</v>
      </c>
      <c r="I182" s="13">
        <v>159.74</v>
      </c>
      <c r="J182" s="17">
        <f t="shared" si="40"/>
        <v>10293.870000000001</v>
      </c>
      <c r="K182" s="18" t="str">
        <f>IF(INDEX('Pivot Table'!$N$5:$N$34,MATCH(A182,'Pivot Table'!$I$5:$I$34,0))&lt;=10,"Top 10","")</f>
        <v>Top 10</v>
      </c>
      <c r="L182" s="17">
        <f t="shared" si="41"/>
        <v>623.98</v>
      </c>
      <c r="M182" s="17">
        <f t="shared" si="42"/>
        <v>561.58000000000004</v>
      </c>
      <c r="N182" s="17">
        <f t="shared" si="43"/>
        <v>222.14</v>
      </c>
      <c r="O182" s="19">
        <f t="shared" si="44"/>
        <v>0.3200048078849313</v>
      </c>
      <c r="P182" s="20">
        <f t="shared" si="45"/>
        <v>45717</v>
      </c>
      <c r="Q182" s="18" t="str">
        <f>IF(J182&gt;='Pivot Table'!$R$4,"High Value","Standard")</f>
        <v>High Value</v>
      </c>
      <c r="R182" s="21">
        <f t="shared" ca="1" si="46"/>
        <v>46304.639624537034</v>
      </c>
      <c r="AD182" s="44">
        <v>120</v>
      </c>
      <c r="AE182" s="39">
        <v>334.83937844911759</v>
      </c>
      <c r="AF182" s="39">
        <v>-16.539378449117581</v>
      </c>
      <c r="AG182" s="45">
        <v>-0.19217495916887581</v>
      </c>
    </row>
    <row r="183" spans="1:33" ht="15.75" customHeight="1" x14ac:dyDescent="0.3">
      <c r="A183" s="11" t="s">
        <v>67</v>
      </c>
      <c r="B183" s="12" t="s">
        <v>68</v>
      </c>
      <c r="C183" s="11" t="s">
        <v>41</v>
      </c>
      <c r="D183" s="11" t="s">
        <v>25</v>
      </c>
      <c r="E183" s="13">
        <v>1064.19</v>
      </c>
      <c r="F183" s="14">
        <v>18</v>
      </c>
      <c r="G183" s="15">
        <v>0.05</v>
      </c>
      <c r="H183" s="16">
        <v>45725</v>
      </c>
      <c r="I183" s="13">
        <v>404.39</v>
      </c>
      <c r="J183" s="17">
        <f t="shared" si="40"/>
        <v>6729.8899999999994</v>
      </c>
      <c r="K183" s="18" t="str">
        <f>IF(INDEX('Pivot Table'!$N$5:$N$34,MATCH(A183,'Pivot Table'!$I$5:$I$34,0))&lt;=10,"Top 10","")</f>
        <v/>
      </c>
      <c r="L183" s="17">
        <f t="shared" si="41"/>
        <v>1120.2</v>
      </c>
      <c r="M183" s="17">
        <f t="shared" si="42"/>
        <v>1008.18</v>
      </c>
      <c r="N183" s="17">
        <f t="shared" si="43"/>
        <v>348.38</v>
      </c>
      <c r="O183" s="19">
        <f t="shared" si="44"/>
        <v>0.37999793269998777</v>
      </c>
      <c r="P183" s="20">
        <f t="shared" si="45"/>
        <v>45717</v>
      </c>
      <c r="Q183" s="18" t="str">
        <f>IF(J183&gt;='Pivot Table'!$R$4,"High Value","Standard")</f>
        <v>Standard</v>
      </c>
      <c r="R183" s="21">
        <f t="shared" ca="1" si="46"/>
        <v>46304.639624537034</v>
      </c>
      <c r="AD183" s="44">
        <v>121</v>
      </c>
      <c r="AE183" s="39">
        <v>377.16313630509518</v>
      </c>
      <c r="AF183" s="39">
        <v>-18.753136305095211</v>
      </c>
      <c r="AG183" s="45">
        <v>-0.2178971365101276</v>
      </c>
    </row>
    <row r="184" spans="1:33" ht="15.75" customHeight="1" x14ac:dyDescent="0.3">
      <c r="A184" s="11" t="s">
        <v>119</v>
      </c>
      <c r="B184" s="12" t="s">
        <v>68</v>
      </c>
      <c r="C184" s="11" t="s">
        <v>33</v>
      </c>
      <c r="D184" s="11" t="s">
        <v>69</v>
      </c>
      <c r="E184" s="13">
        <v>438.76</v>
      </c>
      <c r="F184" s="14">
        <v>18</v>
      </c>
      <c r="G184" s="15">
        <v>0.05</v>
      </c>
      <c r="H184" s="16">
        <v>45726</v>
      </c>
      <c r="I184" s="13">
        <v>187.57</v>
      </c>
      <c r="J184" s="17">
        <f t="shared" si="40"/>
        <v>8490.18</v>
      </c>
      <c r="K184" s="18" t="str">
        <f>IF(INDEX('Pivot Table'!$N$5:$N$34,MATCH(A184,'Pivot Table'!$I$5:$I$34,0))&lt;=10,"Top 10","")</f>
        <v>Top 10</v>
      </c>
      <c r="L184" s="17">
        <f t="shared" si="41"/>
        <v>461.85</v>
      </c>
      <c r="M184" s="17">
        <f t="shared" si="42"/>
        <v>415.67</v>
      </c>
      <c r="N184" s="17">
        <f t="shared" si="43"/>
        <v>164.48</v>
      </c>
      <c r="O184" s="19">
        <f t="shared" si="44"/>
        <v>0.42750022791503328</v>
      </c>
      <c r="P184" s="20">
        <f t="shared" si="45"/>
        <v>45717</v>
      </c>
      <c r="Q184" s="18" t="str">
        <f>IF(J184&gt;='Pivot Table'!$R$4,"High Value","Standard")</f>
        <v>High Value</v>
      </c>
      <c r="R184" s="21">
        <f t="shared" ca="1" si="46"/>
        <v>46304.639624537034</v>
      </c>
      <c r="AD184" s="44">
        <v>122</v>
      </c>
      <c r="AE184" s="39">
        <v>407.01747234061821</v>
      </c>
      <c r="AF184" s="39">
        <v>174.48252765938179</v>
      </c>
      <c r="AG184" s="45">
        <v>2.0273538532164692</v>
      </c>
    </row>
    <row r="185" spans="1:33" ht="15.75" customHeight="1" x14ac:dyDescent="0.3">
      <c r="A185" s="11" t="s">
        <v>78</v>
      </c>
      <c r="B185" s="12" t="s">
        <v>92</v>
      </c>
      <c r="C185" s="11" t="s">
        <v>24</v>
      </c>
      <c r="D185" s="11" t="s">
        <v>28</v>
      </c>
      <c r="E185" s="13">
        <v>864.98</v>
      </c>
      <c r="F185" s="14">
        <v>2</v>
      </c>
      <c r="G185" s="15">
        <v>0.05</v>
      </c>
      <c r="H185" s="16">
        <v>45727</v>
      </c>
      <c r="I185" s="13">
        <v>410.87</v>
      </c>
      <c r="J185" s="17">
        <f t="shared" si="40"/>
        <v>5779.05</v>
      </c>
      <c r="K185" s="18" t="str">
        <f>IF(INDEX('Pivot Table'!$N$5:$N$34,MATCH(A185,'Pivot Table'!$I$5:$I$34,0))&lt;=10,"Top 10","")</f>
        <v/>
      </c>
      <c r="L185" s="17">
        <f t="shared" si="41"/>
        <v>910.51</v>
      </c>
      <c r="M185" s="17">
        <f t="shared" si="42"/>
        <v>819.46</v>
      </c>
      <c r="N185" s="17">
        <f t="shared" si="43"/>
        <v>365.35</v>
      </c>
      <c r="O185" s="19">
        <f t="shared" si="44"/>
        <v>0.47500520243242617</v>
      </c>
      <c r="P185" s="20">
        <f t="shared" si="45"/>
        <v>45717</v>
      </c>
      <c r="Q185" s="18" t="str">
        <f>IF(J185&gt;='Pivot Table'!$R$4,"High Value","Standard")</f>
        <v>Standard</v>
      </c>
      <c r="R185" s="21">
        <f t="shared" ca="1" si="46"/>
        <v>46304.639624537034</v>
      </c>
      <c r="AD185" s="44">
        <v>123</v>
      </c>
      <c r="AE185" s="39">
        <v>354.93290089305219</v>
      </c>
      <c r="AF185" s="39">
        <v>55.967099106947728</v>
      </c>
      <c r="AG185" s="45">
        <v>0.65029499256980494</v>
      </c>
    </row>
    <row r="186" spans="1:33" ht="15.75" customHeight="1" x14ac:dyDescent="0.3">
      <c r="A186" s="11" t="s">
        <v>94</v>
      </c>
      <c r="B186" s="12" t="s">
        <v>92</v>
      </c>
      <c r="C186" s="11" t="s">
        <v>24</v>
      </c>
      <c r="D186" s="11" t="s">
        <v>52</v>
      </c>
      <c r="E186" s="13">
        <v>984.93</v>
      </c>
      <c r="F186" s="14">
        <v>14</v>
      </c>
      <c r="G186" s="15">
        <v>0.2</v>
      </c>
      <c r="H186" s="16">
        <v>45733</v>
      </c>
      <c r="I186" s="13">
        <v>275.77999999999997</v>
      </c>
      <c r="J186" s="17">
        <f t="shared" si="40"/>
        <v>8740.18</v>
      </c>
      <c r="K186" s="18" t="str">
        <f>IF(INDEX('Pivot Table'!$N$5:$N$34,MATCH(A186,'Pivot Table'!$I$5:$I$34,0))&lt;=10,"Top 10","")</f>
        <v>Top 10</v>
      </c>
      <c r="L186" s="17">
        <f t="shared" si="41"/>
        <v>1231.1600000000001</v>
      </c>
      <c r="M186" s="17">
        <f t="shared" si="42"/>
        <v>1108.04</v>
      </c>
      <c r="N186" s="17">
        <f t="shared" si="43"/>
        <v>398.89</v>
      </c>
      <c r="O186" s="19">
        <f t="shared" si="44"/>
        <v>0.27999959387976808</v>
      </c>
      <c r="P186" s="20">
        <f t="shared" si="45"/>
        <v>45717</v>
      </c>
      <c r="Q186" s="18" t="str">
        <f>IF(J186&gt;='Pivot Table'!$R$4,"High Value","Standard")</f>
        <v>High Value</v>
      </c>
      <c r="R186" s="21">
        <f t="shared" ca="1" si="46"/>
        <v>46304.639624537034</v>
      </c>
      <c r="AD186" s="44">
        <v>124</v>
      </c>
      <c r="AE186" s="39">
        <v>250.8970832734345</v>
      </c>
      <c r="AF186" s="39">
        <v>-71.387083273434513</v>
      </c>
      <c r="AG186" s="45">
        <v>-0.82946344419547124</v>
      </c>
    </row>
    <row r="187" spans="1:33" ht="15.75" customHeight="1" x14ac:dyDescent="0.3">
      <c r="A187" s="11" t="s">
        <v>50</v>
      </c>
      <c r="B187" s="12" t="s">
        <v>92</v>
      </c>
      <c r="C187" s="11" t="s">
        <v>24</v>
      </c>
      <c r="D187" s="11" t="s">
        <v>28</v>
      </c>
      <c r="E187" s="13">
        <v>1493.49</v>
      </c>
      <c r="F187" s="14">
        <v>18</v>
      </c>
      <c r="G187" s="15">
        <v>0</v>
      </c>
      <c r="H187" s="16">
        <v>45734</v>
      </c>
      <c r="I187" s="13">
        <v>746.74</v>
      </c>
      <c r="J187" s="17">
        <f t="shared" si="40"/>
        <v>9941.8799999999992</v>
      </c>
      <c r="K187" s="18" t="str">
        <f>IF(INDEX('Pivot Table'!$N$5:$N$34,MATCH(A187,'Pivot Table'!$I$5:$I$34,0))&lt;=10,"Top 10","")</f>
        <v>Top 10</v>
      </c>
      <c r="L187" s="17">
        <f t="shared" si="41"/>
        <v>1493.49</v>
      </c>
      <c r="M187" s="17">
        <f t="shared" si="42"/>
        <v>1344.14</v>
      </c>
      <c r="N187" s="17">
        <f t="shared" si="43"/>
        <v>597.39</v>
      </c>
      <c r="O187" s="19">
        <f t="shared" si="44"/>
        <v>0.499996652136941</v>
      </c>
      <c r="P187" s="20">
        <f t="shared" si="45"/>
        <v>45717</v>
      </c>
      <c r="Q187" s="18" t="str">
        <f>IF(J187&gt;='Pivot Table'!$R$4,"High Value","Standard")</f>
        <v>High Value</v>
      </c>
      <c r="R187" s="21">
        <f t="shared" ca="1" si="46"/>
        <v>46304.639624537034</v>
      </c>
      <c r="AD187" s="44">
        <v>125</v>
      </c>
      <c r="AE187" s="39">
        <v>447.30977402494608</v>
      </c>
      <c r="AF187" s="39">
        <v>63.830225975053906</v>
      </c>
      <c r="AG187" s="45">
        <v>0.74165852775141972</v>
      </c>
    </row>
    <row r="188" spans="1:33" ht="15.75" customHeight="1" x14ac:dyDescent="0.3">
      <c r="A188" s="11" t="s">
        <v>61</v>
      </c>
      <c r="B188" s="12" t="s">
        <v>90</v>
      </c>
      <c r="C188" s="11" t="s">
        <v>41</v>
      </c>
      <c r="D188" s="11" t="s">
        <v>28</v>
      </c>
      <c r="E188" s="13">
        <v>689.43</v>
      </c>
      <c r="F188" s="14">
        <v>9</v>
      </c>
      <c r="G188" s="15">
        <v>0.1</v>
      </c>
      <c r="H188" s="16">
        <v>45736</v>
      </c>
      <c r="I188" s="13">
        <v>310.24</v>
      </c>
      <c r="J188" s="17">
        <f t="shared" si="40"/>
        <v>6505.2</v>
      </c>
      <c r="K188" s="18" t="str">
        <f>IF(INDEX('Pivot Table'!$N$5:$N$34,MATCH(A188,'Pivot Table'!$I$5:$I$34,0))&lt;=10,"Top 10","")</f>
        <v/>
      </c>
      <c r="L188" s="17">
        <f t="shared" si="41"/>
        <v>766.03</v>
      </c>
      <c r="M188" s="17">
        <f t="shared" si="42"/>
        <v>689.43</v>
      </c>
      <c r="N188" s="17">
        <f t="shared" si="43"/>
        <v>310.24</v>
      </c>
      <c r="O188" s="19">
        <f t="shared" si="44"/>
        <v>0.44999492334247138</v>
      </c>
      <c r="P188" s="20">
        <f t="shared" si="45"/>
        <v>45717</v>
      </c>
      <c r="Q188" s="18" t="str">
        <f>IF(J188&gt;='Pivot Table'!$R$4,"High Value","Standard")</f>
        <v>Standard</v>
      </c>
      <c r="R188" s="21">
        <f t="shared" ca="1" si="46"/>
        <v>46304.639624537034</v>
      </c>
      <c r="AD188" s="44">
        <v>126</v>
      </c>
      <c r="AE188" s="39">
        <v>246.92890204694771</v>
      </c>
      <c r="AF188" s="39">
        <v>-96.748902046947677</v>
      </c>
      <c r="AG188" s="45">
        <v>-1.124148429017761</v>
      </c>
    </row>
    <row r="189" spans="1:33" ht="15.75" customHeight="1" x14ac:dyDescent="0.3">
      <c r="A189" s="11" t="s">
        <v>72</v>
      </c>
      <c r="B189" s="12" t="s">
        <v>96</v>
      </c>
      <c r="C189" s="11" t="s">
        <v>41</v>
      </c>
      <c r="D189" s="11" t="s">
        <v>28</v>
      </c>
      <c r="E189" s="13">
        <v>682.24</v>
      </c>
      <c r="F189" s="14">
        <v>1</v>
      </c>
      <c r="G189" s="15">
        <v>0</v>
      </c>
      <c r="H189" s="16">
        <v>45738</v>
      </c>
      <c r="I189" s="13">
        <v>341.12</v>
      </c>
      <c r="J189" s="17">
        <f t="shared" si="40"/>
        <v>5913.68</v>
      </c>
      <c r="K189" s="18" t="str">
        <f>IF(INDEX('Pivot Table'!$N$5:$N$34,MATCH(A189,'Pivot Table'!$I$5:$I$34,0))&lt;=10,"Top 10","")</f>
        <v/>
      </c>
      <c r="L189" s="17">
        <f t="shared" si="41"/>
        <v>682.24</v>
      </c>
      <c r="M189" s="17">
        <f t="shared" si="42"/>
        <v>614.02</v>
      </c>
      <c r="N189" s="17">
        <f t="shared" si="43"/>
        <v>272.89999999999998</v>
      </c>
      <c r="O189" s="19">
        <f t="shared" si="44"/>
        <v>0.5</v>
      </c>
      <c r="P189" s="20">
        <f t="shared" si="45"/>
        <v>45717</v>
      </c>
      <c r="Q189" s="18" t="str">
        <f>IF(J189&gt;='Pivot Table'!$R$4,"High Value","Standard")</f>
        <v>Standard</v>
      </c>
      <c r="R189" s="21">
        <f t="shared" ca="1" si="46"/>
        <v>46304.639624537034</v>
      </c>
      <c r="AD189" s="44">
        <v>127</v>
      </c>
      <c r="AE189" s="39">
        <v>493.88239789796671</v>
      </c>
      <c r="AF189" s="39">
        <v>-141.23239789796671</v>
      </c>
      <c r="AG189" s="45">
        <v>-1.6410127129542911</v>
      </c>
    </row>
    <row r="190" spans="1:33" ht="15.75" customHeight="1" x14ac:dyDescent="0.3">
      <c r="A190" s="11" t="s">
        <v>78</v>
      </c>
      <c r="B190" s="12" t="s">
        <v>51</v>
      </c>
      <c r="C190" s="11" t="s">
        <v>47</v>
      </c>
      <c r="D190" s="11" t="s">
        <v>42</v>
      </c>
      <c r="E190" s="13">
        <v>458.54</v>
      </c>
      <c r="F190" s="14">
        <v>15</v>
      </c>
      <c r="G190" s="15">
        <v>0.2</v>
      </c>
      <c r="H190" s="16">
        <v>45741</v>
      </c>
      <c r="I190" s="13">
        <v>91.71</v>
      </c>
      <c r="J190" s="17">
        <f t="shared" si="40"/>
        <v>5779.05</v>
      </c>
      <c r="K190" s="18" t="str">
        <f>IF(INDEX('Pivot Table'!$N$5:$N$34,MATCH(A190,'Pivot Table'!$I$5:$I$34,0))&lt;=10,"Top 10","")</f>
        <v/>
      </c>
      <c r="L190" s="17">
        <f t="shared" si="41"/>
        <v>573.17999999999995</v>
      </c>
      <c r="M190" s="17">
        <f t="shared" si="42"/>
        <v>515.86</v>
      </c>
      <c r="N190" s="17">
        <f t="shared" si="43"/>
        <v>149.03</v>
      </c>
      <c r="O190" s="19">
        <f t="shared" si="44"/>
        <v>0.20000436166964711</v>
      </c>
      <c r="P190" s="20">
        <f t="shared" si="45"/>
        <v>45717</v>
      </c>
      <c r="Q190" s="18" t="str">
        <f>IF(J190&gt;='Pivot Table'!$R$4,"High Value","Standard")</f>
        <v>Standard</v>
      </c>
      <c r="R190" s="21">
        <f t="shared" ca="1" si="46"/>
        <v>46304.639624537034</v>
      </c>
      <c r="AD190" s="44">
        <v>128</v>
      </c>
      <c r="AE190" s="39">
        <v>472.73981604932862</v>
      </c>
      <c r="AF190" s="39">
        <v>-0.1198160493285627</v>
      </c>
      <c r="AG190" s="45">
        <v>-1.3921710817809501E-3</v>
      </c>
    </row>
    <row r="191" spans="1:33" ht="15.75" customHeight="1" x14ac:dyDescent="0.3">
      <c r="A191" s="11" t="s">
        <v>61</v>
      </c>
      <c r="B191" s="12" t="s">
        <v>51</v>
      </c>
      <c r="C191" s="11" t="s">
        <v>41</v>
      </c>
      <c r="D191" s="11" t="s">
        <v>52</v>
      </c>
      <c r="E191" s="13">
        <v>1184.25</v>
      </c>
      <c r="F191" s="14">
        <v>11</v>
      </c>
      <c r="G191" s="15">
        <v>0.2</v>
      </c>
      <c r="H191" s="16">
        <v>45742</v>
      </c>
      <c r="I191" s="13">
        <v>331.59</v>
      </c>
      <c r="J191" s="17">
        <f t="shared" si="40"/>
        <v>6505.2</v>
      </c>
      <c r="K191" s="18" t="str">
        <f>IF(INDEX('Pivot Table'!$N$5:$N$34,MATCH(A191,'Pivot Table'!$I$5:$I$34,0))&lt;=10,"Top 10","")</f>
        <v/>
      </c>
      <c r="L191" s="17">
        <f t="shared" si="41"/>
        <v>1480.31</v>
      </c>
      <c r="M191" s="17">
        <f t="shared" si="42"/>
        <v>1332.28</v>
      </c>
      <c r="N191" s="17">
        <f t="shared" si="43"/>
        <v>479.62</v>
      </c>
      <c r="O191" s="19">
        <f t="shared" si="44"/>
        <v>0.27999999999999997</v>
      </c>
      <c r="P191" s="20">
        <f t="shared" si="45"/>
        <v>45717</v>
      </c>
      <c r="Q191" s="18" t="str">
        <f>IF(J191&gt;='Pivot Table'!$R$4,"High Value","Standard")</f>
        <v>Standard</v>
      </c>
      <c r="R191" s="21">
        <f t="shared" ca="1" si="46"/>
        <v>46304.639624537034</v>
      </c>
      <c r="AD191" s="44">
        <v>129</v>
      </c>
      <c r="AE191" s="39">
        <v>321.46825673900139</v>
      </c>
      <c r="AF191" s="39">
        <v>-126.13825673900141</v>
      </c>
      <c r="AG191" s="45">
        <v>-1.465630308480188</v>
      </c>
    </row>
    <row r="192" spans="1:33" ht="15.75" customHeight="1" x14ac:dyDescent="0.3">
      <c r="A192" s="11" t="s">
        <v>50</v>
      </c>
      <c r="B192" s="12" t="s">
        <v>23</v>
      </c>
      <c r="C192" s="11" t="s">
        <v>41</v>
      </c>
      <c r="D192" s="11" t="s">
        <v>28</v>
      </c>
      <c r="E192" s="13">
        <v>762.14</v>
      </c>
      <c r="F192" s="14">
        <v>9</v>
      </c>
      <c r="G192" s="15">
        <v>0</v>
      </c>
      <c r="H192" s="16">
        <v>45743</v>
      </c>
      <c r="I192" s="13">
        <v>381.07</v>
      </c>
      <c r="J192" s="17">
        <f t="shared" si="40"/>
        <v>9941.8799999999992</v>
      </c>
      <c r="K192" s="18" t="str">
        <f>IF(INDEX('Pivot Table'!$N$5:$N$34,MATCH(A192,'Pivot Table'!$I$5:$I$34,0))&lt;=10,"Top 10","")</f>
        <v>Top 10</v>
      </c>
      <c r="L192" s="17">
        <f t="shared" si="41"/>
        <v>762.14</v>
      </c>
      <c r="M192" s="17">
        <f t="shared" si="42"/>
        <v>685.93</v>
      </c>
      <c r="N192" s="17">
        <f t="shared" si="43"/>
        <v>304.86</v>
      </c>
      <c r="O192" s="19">
        <f t="shared" si="44"/>
        <v>0.5</v>
      </c>
      <c r="P192" s="20">
        <f t="shared" si="45"/>
        <v>45717</v>
      </c>
      <c r="Q192" s="18" t="str">
        <f>IF(J192&gt;='Pivot Table'!$R$4,"High Value","Standard")</f>
        <v>High Value</v>
      </c>
      <c r="R192" s="21">
        <f t="shared" ca="1" si="46"/>
        <v>46304.639624537034</v>
      </c>
      <c r="AD192" s="44">
        <v>130</v>
      </c>
      <c r="AE192" s="39">
        <v>89.668231018129831</v>
      </c>
      <c r="AF192" s="39">
        <v>-25.038231018129839</v>
      </c>
      <c r="AG192" s="45">
        <v>-0.29092514197996971</v>
      </c>
    </row>
    <row r="193" spans="1:33" ht="15.75" customHeight="1" x14ac:dyDescent="0.3">
      <c r="A193" s="11" t="s">
        <v>45</v>
      </c>
      <c r="B193" s="12" t="s">
        <v>90</v>
      </c>
      <c r="C193" s="11" t="s">
        <v>47</v>
      </c>
      <c r="D193" s="11" t="s">
        <v>25</v>
      </c>
      <c r="E193" s="13">
        <v>750.71</v>
      </c>
      <c r="F193" s="14">
        <v>10</v>
      </c>
      <c r="G193" s="15">
        <v>0.15</v>
      </c>
      <c r="H193" s="16">
        <v>45743</v>
      </c>
      <c r="I193" s="13">
        <v>255.24</v>
      </c>
      <c r="J193" s="17">
        <f t="shared" si="40"/>
        <v>7928.71</v>
      </c>
      <c r="K193" s="18" t="str">
        <f>IF(INDEX('Pivot Table'!$N$5:$N$34,MATCH(A193,'Pivot Table'!$I$5:$I$34,0))&lt;=10,"Top 10","")</f>
        <v>Top 10</v>
      </c>
      <c r="L193" s="17">
        <f t="shared" si="41"/>
        <v>883.19</v>
      </c>
      <c r="M193" s="17">
        <f t="shared" si="42"/>
        <v>794.87</v>
      </c>
      <c r="N193" s="17">
        <f t="shared" si="43"/>
        <v>299.39999999999998</v>
      </c>
      <c r="O193" s="19">
        <f t="shared" si="44"/>
        <v>0.33999813509877314</v>
      </c>
      <c r="P193" s="20">
        <f t="shared" si="45"/>
        <v>45717</v>
      </c>
      <c r="Q193" s="18" t="str">
        <f>IF(J193&gt;='Pivot Table'!$R$4,"High Value","Standard")</f>
        <v>Standard</v>
      </c>
      <c r="R193" s="21">
        <f t="shared" ca="1" si="46"/>
        <v>46304.639624537034</v>
      </c>
      <c r="AD193" s="44">
        <v>131</v>
      </c>
      <c r="AE193" s="39">
        <v>424.72517406482598</v>
      </c>
      <c r="AF193" s="39">
        <v>36.394825935173969</v>
      </c>
      <c r="AG193" s="45">
        <v>0.42288011061404551</v>
      </c>
    </row>
    <row r="194" spans="1:33" ht="15.75" customHeight="1" x14ac:dyDescent="0.3">
      <c r="A194" s="11" t="s">
        <v>163</v>
      </c>
      <c r="B194" s="12" t="s">
        <v>144</v>
      </c>
      <c r="C194" s="11" t="s">
        <v>63</v>
      </c>
      <c r="D194" s="11" t="s">
        <v>28</v>
      </c>
      <c r="E194" s="13">
        <v>1456.94</v>
      </c>
      <c r="F194" s="14">
        <v>14</v>
      </c>
      <c r="G194" s="15">
        <v>0.05</v>
      </c>
      <c r="H194" s="16">
        <v>45745</v>
      </c>
      <c r="I194" s="13">
        <v>692.05</v>
      </c>
      <c r="J194" s="17">
        <f t="shared" ref="J194:J201" si="47">SUMIFS($E$2:$E$201,$A$2:$A$201,A194)</f>
        <v>4951.8899999999994</v>
      </c>
      <c r="K194" s="18" t="str">
        <f>IF(INDEX('Pivot Table'!$N$5:$N$34,MATCH(A194,'Pivot Table'!$I$5:$I$34,0))&lt;=10,"Top 10","")</f>
        <v/>
      </c>
      <c r="L194" s="17">
        <f t="shared" ref="L194:L201" si="48">ROUND(E194/(1-G194),2)</f>
        <v>1533.62</v>
      </c>
      <c r="M194" s="17">
        <f t="shared" ref="M194:M225" si="49">ROUND(L194*(1-$U$3),2)</f>
        <v>1380.26</v>
      </c>
      <c r="N194" s="17">
        <f t="shared" ref="N194:N225" si="50">ROUND(M194-(E194-I194),2)</f>
        <v>615.37</v>
      </c>
      <c r="O194" s="19">
        <f t="shared" ref="O194:O201" si="51">I194/E194</f>
        <v>0.47500240229522145</v>
      </c>
      <c r="P194" s="20">
        <f t="shared" ref="P194:P201" si="52">DATE(YEAR(H194),MONTH(H194),1)</f>
        <v>45717</v>
      </c>
      <c r="Q194" s="18" t="str">
        <f>IF(J194&gt;='Pivot Table'!$R$4,"High Value","Standard")</f>
        <v>Standard</v>
      </c>
      <c r="R194" s="21">
        <f t="shared" ref="R194:R201" ca="1" si="53">NOW()</f>
        <v>46304.639624537034</v>
      </c>
      <c r="AD194" s="44">
        <v>132</v>
      </c>
      <c r="AE194" s="39">
        <v>402.55107561089432</v>
      </c>
      <c r="AF194" s="39">
        <v>34.558924389105698</v>
      </c>
      <c r="AG194" s="45">
        <v>0.40154833531552642</v>
      </c>
    </row>
    <row r="195" spans="1:33" ht="15.75" customHeight="1" x14ac:dyDescent="0.3">
      <c r="A195" s="11" t="s">
        <v>81</v>
      </c>
      <c r="B195" s="12" t="s">
        <v>98</v>
      </c>
      <c r="C195" s="11" t="s">
        <v>33</v>
      </c>
      <c r="D195" s="11" t="s">
        <v>52</v>
      </c>
      <c r="E195" s="13">
        <v>1093.3800000000001</v>
      </c>
      <c r="F195" s="14">
        <v>17</v>
      </c>
      <c r="G195" s="15">
        <v>0.1</v>
      </c>
      <c r="H195" s="16">
        <v>45745</v>
      </c>
      <c r="I195" s="13">
        <v>344.41</v>
      </c>
      <c r="J195" s="17">
        <f t="shared" si="47"/>
        <v>9760.7999999999993</v>
      </c>
      <c r="K195" s="18" t="str">
        <f>IF(INDEX('Pivot Table'!$N$5:$N$34,MATCH(A195,'Pivot Table'!$I$5:$I$34,0))&lt;=10,"Top 10","")</f>
        <v>Top 10</v>
      </c>
      <c r="L195" s="17">
        <f t="shared" si="48"/>
        <v>1214.8699999999999</v>
      </c>
      <c r="M195" s="17">
        <f t="shared" si="49"/>
        <v>1093.3800000000001</v>
      </c>
      <c r="N195" s="17">
        <f t="shared" si="50"/>
        <v>344.41</v>
      </c>
      <c r="O195" s="19">
        <f t="shared" si="51"/>
        <v>0.31499570140298888</v>
      </c>
      <c r="P195" s="20">
        <f t="shared" si="52"/>
        <v>45717</v>
      </c>
      <c r="Q195" s="18" t="str">
        <f>IF(J195&gt;='Pivot Table'!$R$4,"High Value","Standard")</f>
        <v>High Value</v>
      </c>
      <c r="R195" s="21">
        <f t="shared" ca="1" si="53"/>
        <v>46304.639624537034</v>
      </c>
      <c r="AD195" s="44">
        <v>133</v>
      </c>
      <c r="AE195" s="39">
        <v>298.55034359009608</v>
      </c>
      <c r="AF195" s="39">
        <v>-29.580343590096049</v>
      </c>
      <c r="AG195" s="45">
        <v>-0.34370102474626651</v>
      </c>
    </row>
    <row r="196" spans="1:33" ht="15.75" customHeight="1" x14ac:dyDescent="0.3">
      <c r="A196" s="11" t="s">
        <v>67</v>
      </c>
      <c r="B196" s="12" t="s">
        <v>80</v>
      </c>
      <c r="C196" s="11" t="s">
        <v>24</v>
      </c>
      <c r="D196" s="11" t="s">
        <v>28</v>
      </c>
      <c r="E196" s="13">
        <v>934.27</v>
      </c>
      <c r="F196" s="14">
        <v>8</v>
      </c>
      <c r="G196" s="15">
        <v>0.15</v>
      </c>
      <c r="H196" s="16">
        <v>45746</v>
      </c>
      <c r="I196" s="13">
        <v>397.06</v>
      </c>
      <c r="J196" s="17">
        <f t="shared" si="47"/>
        <v>6729.8899999999994</v>
      </c>
      <c r="K196" s="18" t="str">
        <f>IF(INDEX('Pivot Table'!$N$5:$N$34,MATCH(A196,'Pivot Table'!$I$5:$I$34,0))&lt;=10,"Top 10","")</f>
        <v/>
      </c>
      <c r="L196" s="17">
        <f t="shared" si="48"/>
        <v>1099.1400000000001</v>
      </c>
      <c r="M196" s="17">
        <f t="shared" si="49"/>
        <v>989.23</v>
      </c>
      <c r="N196" s="17">
        <f t="shared" si="50"/>
        <v>452.02</v>
      </c>
      <c r="O196" s="19">
        <f t="shared" si="51"/>
        <v>0.42499491581662691</v>
      </c>
      <c r="P196" s="20">
        <f t="shared" si="52"/>
        <v>45717</v>
      </c>
      <c r="Q196" s="18" t="str">
        <f>IF(J196&gt;='Pivot Table'!$R$4,"High Value","Standard")</f>
        <v>Standard</v>
      </c>
      <c r="R196" s="21">
        <f t="shared" ca="1" si="53"/>
        <v>46304.639624537034</v>
      </c>
      <c r="AD196" s="44">
        <v>134</v>
      </c>
      <c r="AE196" s="39">
        <v>371.24068722436158</v>
      </c>
      <c r="AF196" s="39">
        <v>-105.9806872243616</v>
      </c>
      <c r="AG196" s="45">
        <v>-1.2314147295612381</v>
      </c>
    </row>
    <row r="197" spans="1:33" ht="15.75" customHeight="1" x14ac:dyDescent="0.3">
      <c r="A197" s="11" t="s">
        <v>143</v>
      </c>
      <c r="B197" s="12" t="s">
        <v>65</v>
      </c>
      <c r="C197" s="11" t="s">
        <v>63</v>
      </c>
      <c r="D197" s="11" t="s">
        <v>28</v>
      </c>
      <c r="E197" s="13">
        <v>1465.35</v>
      </c>
      <c r="F197" s="14">
        <v>8</v>
      </c>
      <c r="G197" s="15">
        <v>0.2</v>
      </c>
      <c r="H197" s="16">
        <v>45746</v>
      </c>
      <c r="I197" s="13">
        <v>586.14</v>
      </c>
      <c r="J197" s="17">
        <f t="shared" si="47"/>
        <v>7583.1299999999992</v>
      </c>
      <c r="K197" s="18" t="str">
        <f>IF(INDEX('Pivot Table'!$N$5:$N$34,MATCH(A197,'Pivot Table'!$I$5:$I$34,0))&lt;=10,"Top 10","")</f>
        <v/>
      </c>
      <c r="L197" s="17">
        <f t="shared" si="48"/>
        <v>1831.69</v>
      </c>
      <c r="M197" s="17">
        <f t="shared" si="49"/>
        <v>1648.52</v>
      </c>
      <c r="N197" s="17">
        <f t="shared" si="50"/>
        <v>769.31</v>
      </c>
      <c r="O197" s="19">
        <f t="shared" si="51"/>
        <v>0.4</v>
      </c>
      <c r="P197" s="20">
        <f t="shared" si="52"/>
        <v>45717</v>
      </c>
      <c r="Q197" s="18" t="str">
        <f>IF(J197&gt;='Pivot Table'!$R$4,"High Value","Standard")</f>
        <v>Standard</v>
      </c>
      <c r="R197" s="21">
        <f t="shared" ca="1" si="53"/>
        <v>46304.639624537034</v>
      </c>
      <c r="AD197" s="44">
        <v>135</v>
      </c>
      <c r="AE197" s="39">
        <v>312.82667374975563</v>
      </c>
      <c r="AF197" s="39">
        <v>-133.9166737497556</v>
      </c>
      <c r="AG197" s="45">
        <v>-1.556009579747176</v>
      </c>
    </row>
    <row r="198" spans="1:33" ht="15.75" customHeight="1" x14ac:dyDescent="0.3">
      <c r="A198" s="11" t="s">
        <v>89</v>
      </c>
      <c r="B198" s="12" t="s">
        <v>27</v>
      </c>
      <c r="C198" s="11" t="s">
        <v>41</v>
      </c>
      <c r="D198" s="11" t="s">
        <v>69</v>
      </c>
      <c r="E198" s="13">
        <v>740.8</v>
      </c>
      <c r="F198" s="14">
        <v>3</v>
      </c>
      <c r="G198" s="15">
        <v>0</v>
      </c>
      <c r="H198" s="16">
        <v>45749</v>
      </c>
      <c r="I198" s="13">
        <v>333.36</v>
      </c>
      <c r="J198" s="17">
        <f t="shared" si="47"/>
        <v>10293.870000000001</v>
      </c>
      <c r="K198" s="18" t="str">
        <f>IF(INDEX('Pivot Table'!$N$5:$N$34,MATCH(A198,'Pivot Table'!$I$5:$I$34,0))&lt;=10,"Top 10","")</f>
        <v>Top 10</v>
      </c>
      <c r="L198" s="17">
        <f t="shared" si="48"/>
        <v>740.8</v>
      </c>
      <c r="M198" s="17">
        <f t="shared" si="49"/>
        <v>666.72</v>
      </c>
      <c r="N198" s="17">
        <f t="shared" si="50"/>
        <v>259.27999999999997</v>
      </c>
      <c r="O198" s="19">
        <f t="shared" si="51"/>
        <v>0.45000000000000007</v>
      </c>
      <c r="P198" s="20">
        <f t="shared" si="52"/>
        <v>45748</v>
      </c>
      <c r="Q198" s="18" t="str">
        <f>IF(J198&gt;='Pivot Table'!$R$4,"High Value","Standard")</f>
        <v>High Value</v>
      </c>
      <c r="R198" s="21">
        <f t="shared" ca="1" si="53"/>
        <v>46304.639624537034</v>
      </c>
      <c r="AD198" s="44">
        <v>136</v>
      </c>
      <c r="AE198" s="39">
        <v>291.55076662560339</v>
      </c>
      <c r="AF198" s="39">
        <v>64.949233374396613</v>
      </c>
      <c r="AG198" s="45">
        <v>0.75466054000598715</v>
      </c>
    </row>
    <row r="199" spans="1:33" ht="15.75" customHeight="1" x14ac:dyDescent="0.3">
      <c r="A199" s="11" t="s">
        <v>95</v>
      </c>
      <c r="B199" s="12" t="s">
        <v>80</v>
      </c>
      <c r="C199" s="11" t="s">
        <v>24</v>
      </c>
      <c r="D199" s="11" t="s">
        <v>69</v>
      </c>
      <c r="E199" s="13">
        <v>545.44000000000005</v>
      </c>
      <c r="F199" s="14">
        <v>17</v>
      </c>
      <c r="G199" s="15">
        <v>0</v>
      </c>
      <c r="H199" s="16">
        <v>45752</v>
      </c>
      <c r="I199" s="13">
        <v>245.45</v>
      </c>
      <c r="J199" s="17">
        <f t="shared" si="47"/>
        <v>11611.060000000001</v>
      </c>
      <c r="K199" s="18" t="str">
        <f>IF(INDEX('Pivot Table'!$N$5:$N$34,MATCH(A199,'Pivot Table'!$I$5:$I$34,0))&lt;=10,"Top 10","")</f>
        <v>Top 10</v>
      </c>
      <c r="L199" s="17">
        <f t="shared" si="48"/>
        <v>545.44000000000005</v>
      </c>
      <c r="M199" s="17">
        <f t="shared" si="49"/>
        <v>490.9</v>
      </c>
      <c r="N199" s="17">
        <f t="shared" si="50"/>
        <v>190.91</v>
      </c>
      <c r="O199" s="19">
        <f t="shared" si="51"/>
        <v>0.45000366676444697</v>
      </c>
      <c r="P199" s="20">
        <f t="shared" si="52"/>
        <v>45748</v>
      </c>
      <c r="Q199" s="18" t="str">
        <f>IF(J199&gt;='Pivot Table'!$R$4,"High Value","Standard")</f>
        <v>High Value</v>
      </c>
      <c r="R199" s="21">
        <f t="shared" ca="1" si="53"/>
        <v>46304.639624537034</v>
      </c>
      <c r="AD199" s="44">
        <v>137</v>
      </c>
      <c r="AE199" s="39">
        <v>286.73702246756631</v>
      </c>
      <c r="AF199" s="39">
        <v>-57.0870224675663</v>
      </c>
      <c r="AG199" s="45">
        <v>-0.66330764759558236</v>
      </c>
    </row>
    <row r="200" spans="1:33" ht="15.75" customHeight="1" x14ac:dyDescent="0.3">
      <c r="A200" s="11" t="s">
        <v>64</v>
      </c>
      <c r="B200" s="12" t="s">
        <v>65</v>
      </c>
      <c r="C200" s="11" t="s">
        <v>33</v>
      </c>
      <c r="D200" s="11" t="s">
        <v>25</v>
      </c>
      <c r="E200" s="13">
        <v>997.61</v>
      </c>
      <c r="F200" s="14">
        <v>8</v>
      </c>
      <c r="G200" s="15">
        <v>0.05</v>
      </c>
      <c r="H200" s="16">
        <v>45752</v>
      </c>
      <c r="I200" s="13">
        <v>379.09</v>
      </c>
      <c r="J200" s="17">
        <f t="shared" si="47"/>
        <v>4259.22</v>
      </c>
      <c r="K200" s="18" t="str">
        <f>IF(INDEX('Pivot Table'!$N$5:$N$34,MATCH(A200,'Pivot Table'!$I$5:$I$34,0))&lt;=10,"Top 10","")</f>
        <v/>
      </c>
      <c r="L200" s="17">
        <f t="shared" si="48"/>
        <v>1050.1199999999999</v>
      </c>
      <c r="M200" s="17">
        <f t="shared" si="49"/>
        <v>945.11</v>
      </c>
      <c r="N200" s="17">
        <f t="shared" si="50"/>
        <v>326.58999999999997</v>
      </c>
      <c r="O200" s="19">
        <f t="shared" si="51"/>
        <v>0.37999819568769355</v>
      </c>
      <c r="P200" s="20">
        <f t="shared" si="52"/>
        <v>45748</v>
      </c>
      <c r="Q200" s="18" t="str">
        <f>IF(J200&gt;='Pivot Table'!$R$4,"High Value","Standard")</f>
        <v>Standard</v>
      </c>
      <c r="R200" s="21">
        <f t="shared" ca="1" si="53"/>
        <v>46304.639624537034</v>
      </c>
      <c r="AD200" s="44">
        <v>138</v>
      </c>
      <c r="AE200" s="39">
        <v>178.51549290878069</v>
      </c>
      <c r="AF200" s="39">
        <v>-56.975492908780737</v>
      </c>
      <c r="AG200" s="45">
        <v>-0.66201175921188782</v>
      </c>
    </row>
    <row r="201" spans="1:33" ht="15.75" customHeight="1" x14ac:dyDescent="0.3">
      <c r="A201" s="11" t="s">
        <v>97</v>
      </c>
      <c r="B201" s="12" t="s">
        <v>65</v>
      </c>
      <c r="C201" s="11" t="s">
        <v>41</v>
      </c>
      <c r="D201" s="11" t="s">
        <v>28</v>
      </c>
      <c r="E201" s="13">
        <v>928.32</v>
      </c>
      <c r="F201" s="14">
        <v>2</v>
      </c>
      <c r="G201" s="15">
        <v>0.05</v>
      </c>
      <c r="H201" s="16">
        <v>45754</v>
      </c>
      <c r="I201" s="13">
        <v>440.95</v>
      </c>
      <c r="J201" s="17">
        <f t="shared" si="47"/>
        <v>3369.17</v>
      </c>
      <c r="K201" s="18" t="str">
        <f>IF(INDEX('Pivot Table'!$N$5:$N$34,MATCH(A201,'Pivot Table'!$I$5:$I$34,0))&lt;=10,"Top 10","")</f>
        <v/>
      </c>
      <c r="L201" s="17">
        <f t="shared" si="48"/>
        <v>977.18</v>
      </c>
      <c r="M201" s="17">
        <f t="shared" si="49"/>
        <v>879.46</v>
      </c>
      <c r="N201" s="17">
        <f t="shared" si="50"/>
        <v>392.09</v>
      </c>
      <c r="O201" s="19">
        <f t="shared" si="51"/>
        <v>0.4749978455704929</v>
      </c>
      <c r="P201" s="20">
        <f t="shared" si="52"/>
        <v>45748</v>
      </c>
      <c r="Q201" s="18" t="str">
        <f>IF(J201&gt;='Pivot Table'!$R$4,"High Value","Standard")</f>
        <v>Standard</v>
      </c>
      <c r="R201" s="21">
        <f t="shared" ca="1" si="53"/>
        <v>46304.639624537034</v>
      </c>
      <c r="AD201" s="44">
        <v>139</v>
      </c>
      <c r="AE201" s="39">
        <v>281.76890167472328</v>
      </c>
      <c r="AF201" s="39">
        <v>-13.76890167472334</v>
      </c>
      <c r="AG201" s="45">
        <v>-0.1599841327339237</v>
      </c>
    </row>
    <row r="202" spans="1:33" ht="15.75" customHeight="1" x14ac:dyDescent="0.3">
      <c r="AD202" s="44">
        <v>140</v>
      </c>
      <c r="AE202" s="39">
        <v>501.55912691967598</v>
      </c>
      <c r="AF202" s="39">
        <v>-75.39912691967595</v>
      </c>
      <c r="AG202" s="45">
        <v>-0.87608033045103251</v>
      </c>
    </row>
    <row r="203" spans="1:33" ht="15.75" customHeight="1" x14ac:dyDescent="0.3">
      <c r="AD203" s="44">
        <v>141</v>
      </c>
      <c r="AE203" s="39">
        <v>521.2456564173043</v>
      </c>
      <c r="AF203" s="39">
        <v>-204.92565641730431</v>
      </c>
      <c r="AG203" s="45">
        <v>-2.3810797833670501</v>
      </c>
    </row>
    <row r="204" spans="1:33" ht="15.75" customHeight="1" x14ac:dyDescent="0.3">
      <c r="AD204" s="44">
        <v>142</v>
      </c>
      <c r="AE204" s="39">
        <v>430.96339353493528</v>
      </c>
      <c r="AF204" s="39">
        <v>61.536606465064658</v>
      </c>
      <c r="AG204" s="45">
        <v>0.71500841891951039</v>
      </c>
    </row>
    <row r="205" spans="1:33" ht="15.75" customHeight="1" x14ac:dyDescent="0.3">
      <c r="AD205" s="44">
        <v>143</v>
      </c>
      <c r="AE205" s="39">
        <v>406.5473253164368</v>
      </c>
      <c r="AF205" s="39">
        <v>-174.21732531643681</v>
      </c>
      <c r="AG205" s="45">
        <v>-2.0242724043226219</v>
      </c>
    </row>
    <row r="206" spans="1:33" ht="15.75" customHeight="1" x14ac:dyDescent="0.3">
      <c r="AD206" s="44">
        <v>144</v>
      </c>
      <c r="AE206" s="39">
        <v>135.18126980680111</v>
      </c>
      <c r="AF206" s="39">
        <v>30.788730193198859</v>
      </c>
      <c r="AG206" s="45">
        <v>0.35774155515833211</v>
      </c>
    </row>
    <row r="207" spans="1:33" ht="15.75" customHeight="1" x14ac:dyDescent="0.3">
      <c r="AD207" s="44">
        <v>145</v>
      </c>
      <c r="AE207" s="39">
        <v>556.62597426690047</v>
      </c>
      <c r="AF207" s="39">
        <v>118.8740257330995</v>
      </c>
      <c r="AG207" s="45">
        <v>1.381225486300975</v>
      </c>
    </row>
    <row r="208" spans="1:33" ht="15.75" customHeight="1" x14ac:dyDescent="0.3">
      <c r="AD208" s="44">
        <v>146</v>
      </c>
      <c r="AE208" s="39">
        <v>117.0876264955787</v>
      </c>
      <c r="AF208" s="39">
        <v>17.572373504421321</v>
      </c>
      <c r="AG208" s="45">
        <v>0.20417757360722191</v>
      </c>
    </row>
    <row r="209" spans="30:33" ht="15.75" customHeight="1" x14ac:dyDescent="0.3">
      <c r="AD209" s="44">
        <v>147</v>
      </c>
      <c r="AE209" s="39">
        <v>473.95377776848369</v>
      </c>
      <c r="AF209" s="39">
        <v>13.40622223151632</v>
      </c>
      <c r="AG209" s="45">
        <v>0.1557700743033654</v>
      </c>
    </row>
    <row r="210" spans="30:33" ht="15.75" customHeight="1" x14ac:dyDescent="0.3">
      <c r="AD210" s="44">
        <v>148</v>
      </c>
      <c r="AE210" s="39">
        <v>231.4491358477789</v>
      </c>
      <c r="AF210" s="39">
        <v>83.290864152221133</v>
      </c>
      <c r="AG210" s="45">
        <v>0.96777629623968531</v>
      </c>
    </row>
    <row r="211" spans="30:33" ht="15.75" customHeight="1" x14ac:dyDescent="0.3">
      <c r="AD211" s="44">
        <v>149</v>
      </c>
      <c r="AE211" s="39">
        <v>107.5303093771435</v>
      </c>
      <c r="AF211" s="39">
        <v>3.8596906228564758</v>
      </c>
      <c r="AG211" s="45">
        <v>4.4846660358721639E-2</v>
      </c>
    </row>
    <row r="212" spans="30:33" ht="15.75" customHeight="1" x14ac:dyDescent="0.3">
      <c r="AD212" s="44">
        <v>150</v>
      </c>
      <c r="AE212" s="39">
        <v>309.34618234686002</v>
      </c>
      <c r="AF212" s="39">
        <v>9.1238176531400654</v>
      </c>
      <c r="AG212" s="45">
        <v>0.10601180028322089</v>
      </c>
    </row>
    <row r="213" spans="30:33" ht="15.75" customHeight="1" x14ac:dyDescent="0.3">
      <c r="AD213" s="44">
        <v>151</v>
      </c>
      <c r="AE213" s="39">
        <v>260.37370351458469</v>
      </c>
      <c r="AF213" s="39">
        <v>41.376296485415253</v>
      </c>
      <c r="AG213" s="45">
        <v>0.48076099788793519</v>
      </c>
    </row>
    <row r="214" spans="30:33" ht="15.75" customHeight="1" x14ac:dyDescent="0.3">
      <c r="AD214" s="44">
        <v>152</v>
      </c>
      <c r="AE214" s="39">
        <v>304.29385611685018</v>
      </c>
      <c r="AF214" s="39">
        <v>109.06614388314981</v>
      </c>
      <c r="AG214" s="45">
        <v>1.2672653819448281</v>
      </c>
    </row>
    <row r="215" spans="30:33" ht="15.75" customHeight="1" x14ac:dyDescent="0.3">
      <c r="AD215" s="44">
        <v>153</v>
      </c>
      <c r="AE215" s="39">
        <v>301.47297397176152</v>
      </c>
      <c r="AF215" s="39">
        <v>-14.792973971761461</v>
      </c>
      <c r="AG215" s="45">
        <v>-0.17188307152867491</v>
      </c>
    </row>
    <row r="216" spans="30:33" ht="15.75" customHeight="1" x14ac:dyDescent="0.3">
      <c r="AD216" s="44">
        <v>154</v>
      </c>
      <c r="AE216" s="39">
        <v>409.88396576417239</v>
      </c>
      <c r="AF216" s="39">
        <v>146.42603423582759</v>
      </c>
      <c r="AG216" s="45">
        <v>1.701358804812396</v>
      </c>
    </row>
    <row r="217" spans="30:33" ht="15.75" customHeight="1" x14ac:dyDescent="0.3">
      <c r="AD217" s="44">
        <v>155</v>
      </c>
      <c r="AE217" s="39">
        <v>368.96714042085722</v>
      </c>
      <c r="AF217" s="39">
        <v>-36.777140420857172</v>
      </c>
      <c r="AG217" s="45">
        <v>-0.42732231325798808</v>
      </c>
    </row>
    <row r="218" spans="30:33" ht="15.75" customHeight="1" x14ac:dyDescent="0.3">
      <c r="AD218" s="44">
        <v>156</v>
      </c>
      <c r="AE218" s="39">
        <v>588.83104542333081</v>
      </c>
      <c r="AF218" s="39">
        <v>-252.5910454233308</v>
      </c>
      <c r="AG218" s="45">
        <v>-2.9349152381988151</v>
      </c>
    </row>
    <row r="219" spans="30:33" ht="15.75" customHeight="1" x14ac:dyDescent="0.3">
      <c r="AD219" s="44">
        <v>157</v>
      </c>
      <c r="AE219" s="39">
        <v>132.21302814667041</v>
      </c>
      <c r="AF219" s="39">
        <v>48.176971853329597</v>
      </c>
      <c r="AG219" s="45">
        <v>0.5597796572148489</v>
      </c>
    </row>
    <row r="220" spans="30:33" ht="15.75" customHeight="1" x14ac:dyDescent="0.3">
      <c r="AD220" s="44">
        <v>158</v>
      </c>
      <c r="AE220" s="39">
        <v>376.60527528386501</v>
      </c>
      <c r="AF220" s="39">
        <v>107.7447247161351</v>
      </c>
      <c r="AG220" s="45">
        <v>1.25191149937619</v>
      </c>
    </row>
    <row r="221" spans="30:33" ht="15.75" customHeight="1" x14ac:dyDescent="0.3">
      <c r="AD221" s="44">
        <v>159</v>
      </c>
      <c r="AE221" s="39">
        <v>437.78754250533052</v>
      </c>
      <c r="AF221" s="39">
        <v>125.0324574946696</v>
      </c>
      <c r="AG221" s="45">
        <v>1.4527817649099319</v>
      </c>
    </row>
    <row r="222" spans="30:33" ht="15.75" customHeight="1" x14ac:dyDescent="0.3">
      <c r="AD222" s="44">
        <v>160</v>
      </c>
      <c r="AE222" s="39">
        <v>391.34473534794199</v>
      </c>
      <c r="AF222" s="39">
        <v>55.995264652057926</v>
      </c>
      <c r="AG222" s="45">
        <v>0.65062225471560886</v>
      </c>
    </row>
    <row r="223" spans="30:33" ht="15.75" customHeight="1" x14ac:dyDescent="0.3">
      <c r="AD223" s="44">
        <v>161</v>
      </c>
      <c r="AE223" s="39">
        <v>568.27439307497843</v>
      </c>
      <c r="AF223" s="39">
        <v>80.775606925021521</v>
      </c>
      <c r="AG223" s="45">
        <v>0.93855092622814817</v>
      </c>
    </row>
    <row r="224" spans="30:33" ht="15.75" customHeight="1" x14ac:dyDescent="0.3">
      <c r="AD224" s="44">
        <v>162</v>
      </c>
      <c r="AE224" s="39">
        <v>223.74082978713199</v>
      </c>
      <c r="AF224" s="39">
        <v>-18.740829787132011</v>
      </c>
      <c r="AG224" s="45">
        <v>-0.2177541441604233</v>
      </c>
    </row>
    <row r="225" spans="30:33" ht="15.75" customHeight="1" x14ac:dyDescent="0.3">
      <c r="AD225" s="44">
        <v>163</v>
      </c>
      <c r="AE225" s="39">
        <v>204.27533956206659</v>
      </c>
      <c r="AF225" s="39">
        <v>59.044660437933373</v>
      </c>
      <c r="AG225" s="45">
        <v>0.68605390726792237</v>
      </c>
    </row>
    <row r="226" spans="30:33" ht="15.75" customHeight="1" x14ac:dyDescent="0.3">
      <c r="AD226" s="44">
        <v>164</v>
      </c>
      <c r="AE226" s="39">
        <v>388.41157928663091</v>
      </c>
      <c r="AF226" s="39">
        <v>55.578420713369162</v>
      </c>
      <c r="AG226" s="45">
        <v>0.64577884617134274</v>
      </c>
    </row>
    <row r="227" spans="30:33" ht="15.75" customHeight="1" x14ac:dyDescent="0.3">
      <c r="AD227" s="44">
        <v>165</v>
      </c>
      <c r="AE227" s="39">
        <v>384.23639302710887</v>
      </c>
      <c r="AF227" s="39">
        <v>11.073606972891129</v>
      </c>
      <c r="AG227" s="45">
        <v>0.12866686462338431</v>
      </c>
    </row>
    <row r="228" spans="30:33" ht="15.75" customHeight="1" x14ac:dyDescent="0.3">
      <c r="AD228" s="44">
        <v>166</v>
      </c>
      <c r="AE228" s="39">
        <v>289.21406574422377</v>
      </c>
      <c r="AF228" s="39">
        <v>45.82593425577619</v>
      </c>
      <c r="AG228" s="45">
        <v>0.53246239401150142</v>
      </c>
    </row>
    <row r="229" spans="30:33" ht="15.75" customHeight="1" x14ac:dyDescent="0.3">
      <c r="AD229" s="44">
        <v>167</v>
      </c>
      <c r="AE229" s="39">
        <v>259.26149003200618</v>
      </c>
      <c r="AF229" s="39">
        <v>74.588509967993787</v>
      </c>
      <c r="AG229" s="45">
        <v>0.86666157991754855</v>
      </c>
    </row>
    <row r="230" spans="30:33" ht="15.75" customHeight="1" x14ac:dyDescent="0.3">
      <c r="AD230" s="44">
        <v>168</v>
      </c>
      <c r="AE230" s="39">
        <v>459.03187259054522</v>
      </c>
      <c r="AF230" s="39">
        <v>72.028127409454783</v>
      </c>
      <c r="AG230" s="45">
        <v>0.83691188798337635</v>
      </c>
    </row>
    <row r="231" spans="30:33" ht="15.75" customHeight="1" x14ac:dyDescent="0.3">
      <c r="AD231" s="44">
        <v>169</v>
      </c>
      <c r="AE231" s="39">
        <v>200.1212046618364</v>
      </c>
      <c r="AF231" s="39">
        <v>32.068795338163604</v>
      </c>
      <c r="AG231" s="45">
        <v>0.3726149355410287</v>
      </c>
    </row>
    <row r="232" spans="30:33" ht="15.75" customHeight="1" x14ac:dyDescent="0.3">
      <c r="AD232" s="44">
        <v>170</v>
      </c>
      <c r="AE232" s="39">
        <v>390.25006466477328</v>
      </c>
      <c r="AF232" s="39">
        <v>-167.21006466477331</v>
      </c>
      <c r="AG232" s="45">
        <v>-1.942853381608928</v>
      </c>
    </row>
    <row r="233" spans="30:33" ht="15.75" customHeight="1" x14ac:dyDescent="0.3">
      <c r="AD233" s="44">
        <v>171</v>
      </c>
      <c r="AE233" s="39">
        <v>295.73647856477118</v>
      </c>
      <c r="AF233" s="39">
        <v>127.1835214352288</v>
      </c>
      <c r="AG233" s="45">
        <v>1.477775486785174</v>
      </c>
    </row>
    <row r="234" spans="30:33" ht="15.75" customHeight="1" x14ac:dyDescent="0.3">
      <c r="AD234" s="44">
        <v>172</v>
      </c>
      <c r="AE234" s="39">
        <v>360.27994615314589</v>
      </c>
      <c r="AF234" s="39">
        <v>-102.829946153146</v>
      </c>
      <c r="AG234" s="45">
        <v>-1.194805522112764</v>
      </c>
    </row>
    <row r="235" spans="30:33" ht="15.75" customHeight="1" x14ac:dyDescent="0.3">
      <c r="AD235" s="44">
        <v>173</v>
      </c>
      <c r="AE235" s="39">
        <v>416.42742994401141</v>
      </c>
      <c r="AF235" s="39">
        <v>-35.677429944011408</v>
      </c>
      <c r="AG235" s="45">
        <v>-0.41454451652060859</v>
      </c>
    </row>
    <row r="236" spans="30:33" ht="15.75" customHeight="1" x14ac:dyDescent="0.3">
      <c r="AD236" s="44">
        <v>174</v>
      </c>
      <c r="AE236" s="39">
        <v>246.06930487586959</v>
      </c>
      <c r="AF236" s="39">
        <v>-20.699304875869611</v>
      </c>
      <c r="AG236" s="45">
        <v>-0.24051013050956499</v>
      </c>
    </row>
    <row r="237" spans="30:33" ht="15.75" customHeight="1" x14ac:dyDescent="0.3">
      <c r="AD237" s="44">
        <v>175</v>
      </c>
      <c r="AE237" s="39">
        <v>566.73062672692004</v>
      </c>
      <c r="AF237" s="39">
        <v>15.829373273079909</v>
      </c>
      <c r="AG237" s="45">
        <v>0.18392524070850591</v>
      </c>
    </row>
    <row r="238" spans="30:33" ht="15.75" customHeight="1" x14ac:dyDescent="0.3">
      <c r="AD238" s="44">
        <v>176</v>
      </c>
      <c r="AE238" s="39">
        <v>354.8872896145869</v>
      </c>
      <c r="AF238" s="39">
        <v>-9.9772896145868799</v>
      </c>
      <c r="AG238" s="45">
        <v>-0.1159284933347408</v>
      </c>
    </row>
    <row r="239" spans="30:33" ht="15.75" customHeight="1" x14ac:dyDescent="0.3">
      <c r="AD239" s="44">
        <v>177</v>
      </c>
      <c r="AE239" s="39">
        <v>289.11582606752921</v>
      </c>
      <c r="AF239" s="39">
        <v>41.674173932470808</v>
      </c>
      <c r="AG239" s="45">
        <v>0.48422210656268622</v>
      </c>
    </row>
    <row r="240" spans="30:33" ht="15.75" customHeight="1" x14ac:dyDescent="0.3">
      <c r="AD240" s="44">
        <v>178</v>
      </c>
      <c r="AE240" s="39">
        <v>357.62396632250892</v>
      </c>
      <c r="AF240" s="39">
        <v>102.37603367749109</v>
      </c>
      <c r="AG240" s="45">
        <v>1.1895314054496999</v>
      </c>
    </row>
    <row r="241" spans="30:33" ht="15.75" customHeight="1" x14ac:dyDescent="0.3">
      <c r="AD241" s="44">
        <v>179</v>
      </c>
      <c r="AE241" s="39">
        <v>384.80127116810309</v>
      </c>
      <c r="AF241" s="39">
        <v>55.07872883189691</v>
      </c>
      <c r="AG241" s="45">
        <v>0.63997280773922305</v>
      </c>
    </row>
    <row r="242" spans="30:33" ht="15.75" customHeight="1" x14ac:dyDescent="0.3">
      <c r="AD242" s="44">
        <v>180</v>
      </c>
      <c r="AE242" s="39">
        <v>248.25864624220719</v>
      </c>
      <c r="AF242" s="39">
        <v>7.5313537577928003</v>
      </c>
      <c r="AG242" s="45">
        <v>8.7508584759871097E-2</v>
      </c>
    </row>
    <row r="243" spans="30:33" ht="15.75" customHeight="1" x14ac:dyDescent="0.3">
      <c r="AD243" s="44">
        <v>181</v>
      </c>
      <c r="AE243" s="39">
        <v>174.10874169704999</v>
      </c>
      <c r="AF243" s="39">
        <v>-14.36874169704998</v>
      </c>
      <c r="AG243" s="45">
        <v>-0.16695381615661789</v>
      </c>
    </row>
    <row r="244" spans="30:33" ht="15.75" customHeight="1" x14ac:dyDescent="0.3">
      <c r="AD244" s="44">
        <v>182</v>
      </c>
      <c r="AE244" s="39">
        <v>372.34588358717622</v>
      </c>
      <c r="AF244" s="39">
        <v>32.044116412823769</v>
      </c>
      <c r="AG244" s="45">
        <v>0.37232818525690498</v>
      </c>
    </row>
    <row r="245" spans="30:33" ht="15.75" customHeight="1" x14ac:dyDescent="0.3">
      <c r="AD245" s="44">
        <v>183</v>
      </c>
      <c r="AE245" s="39">
        <v>152.9100228903007</v>
      </c>
      <c r="AF245" s="39">
        <v>34.659977109699327</v>
      </c>
      <c r="AG245" s="45">
        <v>0.40272249083253853</v>
      </c>
    </row>
    <row r="246" spans="30:33" ht="15.75" customHeight="1" x14ac:dyDescent="0.3">
      <c r="AD246" s="44">
        <v>184</v>
      </c>
      <c r="AE246" s="39">
        <v>302.45186217882582</v>
      </c>
      <c r="AF246" s="39">
        <v>108.4181378211742</v>
      </c>
      <c r="AG246" s="45">
        <v>1.259736045888793</v>
      </c>
    </row>
    <row r="247" spans="30:33" ht="15.75" customHeight="1" x14ac:dyDescent="0.3">
      <c r="AD247" s="44">
        <v>185</v>
      </c>
      <c r="AE247" s="39">
        <v>344.53703796283082</v>
      </c>
      <c r="AF247" s="39">
        <v>-68.757037962830793</v>
      </c>
      <c r="AG247" s="45">
        <v>-0.79890432423020252</v>
      </c>
    </row>
    <row r="248" spans="30:33" ht="15.75" customHeight="1" x14ac:dyDescent="0.3">
      <c r="AD248" s="44">
        <v>186</v>
      </c>
      <c r="AE248" s="39">
        <v>522.96835931934231</v>
      </c>
      <c r="AF248" s="39">
        <v>223.7716406806577</v>
      </c>
      <c r="AG248" s="45">
        <v>2.6000557423155222</v>
      </c>
    </row>
    <row r="249" spans="30:33" ht="15.75" customHeight="1" x14ac:dyDescent="0.3">
      <c r="AD249" s="44">
        <v>187</v>
      </c>
      <c r="AE249" s="39">
        <v>240.85909345117199</v>
      </c>
      <c r="AF249" s="39">
        <v>69.380906548827966</v>
      </c>
      <c r="AG249" s="45">
        <v>0.80615320123060441</v>
      </c>
    </row>
    <row r="250" spans="30:33" ht="15.75" customHeight="1" x14ac:dyDescent="0.3">
      <c r="AD250" s="44">
        <v>188</v>
      </c>
      <c r="AE250" s="39">
        <v>238.33643889604909</v>
      </c>
      <c r="AF250" s="39">
        <v>102.7835611039509</v>
      </c>
      <c r="AG250" s="45">
        <v>1.194266563229724</v>
      </c>
    </row>
    <row r="251" spans="30:33" ht="15.75" customHeight="1" x14ac:dyDescent="0.3">
      <c r="AD251" s="44">
        <v>189</v>
      </c>
      <c r="AE251" s="39">
        <v>159.84995433680021</v>
      </c>
      <c r="AF251" s="39">
        <v>-68.139954336800216</v>
      </c>
      <c r="AG251" s="45">
        <v>-0.79173428328815398</v>
      </c>
    </row>
    <row r="252" spans="30:33" ht="15.75" customHeight="1" x14ac:dyDescent="0.3">
      <c r="AD252" s="44">
        <v>190</v>
      </c>
      <c r="AE252" s="39">
        <v>414.46965352988258</v>
      </c>
      <c r="AF252" s="39">
        <v>-82.87965352988266</v>
      </c>
      <c r="AG252" s="45">
        <v>-0.96299834253357619</v>
      </c>
    </row>
    <row r="253" spans="30:33" ht="15.75" customHeight="1" x14ac:dyDescent="0.3">
      <c r="AD253" s="44">
        <v>191</v>
      </c>
      <c r="AE253" s="39">
        <v>266.36983235283941</v>
      </c>
      <c r="AF253" s="39">
        <v>114.7001676471606</v>
      </c>
      <c r="AG253" s="45">
        <v>1.332728439709433</v>
      </c>
    </row>
    <row r="254" spans="30:33" ht="15.75" customHeight="1" x14ac:dyDescent="0.3">
      <c r="AD254" s="44">
        <v>192</v>
      </c>
      <c r="AE254" s="39">
        <v>262.35954840776918</v>
      </c>
      <c r="AF254" s="39">
        <v>-7.1195484077691731</v>
      </c>
      <c r="AG254" s="45">
        <v>-8.272372077179678E-2</v>
      </c>
    </row>
    <row r="255" spans="30:33" ht="15.75" customHeight="1" x14ac:dyDescent="0.3">
      <c r="AD255" s="44">
        <v>193</v>
      </c>
      <c r="AE255" s="39">
        <v>510.14457295081058</v>
      </c>
      <c r="AF255" s="39">
        <v>181.90542704918931</v>
      </c>
      <c r="AG255" s="45">
        <v>2.113602280963585</v>
      </c>
    </row>
    <row r="256" spans="30:33" ht="15.75" customHeight="1" x14ac:dyDescent="0.3">
      <c r="AD256" s="44">
        <v>194</v>
      </c>
      <c r="AE256" s="39">
        <v>382.58736988259187</v>
      </c>
      <c r="AF256" s="39">
        <v>-38.177369882591847</v>
      </c>
      <c r="AG256" s="45">
        <v>-0.44359191132443032</v>
      </c>
    </row>
    <row r="257" spans="30:33" ht="15.75" customHeight="1" x14ac:dyDescent="0.3">
      <c r="AD257" s="44">
        <v>195</v>
      </c>
      <c r="AE257" s="39">
        <v>326.76267360086592</v>
      </c>
      <c r="AF257" s="39">
        <v>70.297326399134135</v>
      </c>
      <c r="AG257" s="45">
        <v>0.81680130072575396</v>
      </c>
    </row>
    <row r="258" spans="30:33" ht="15.75" customHeight="1" x14ac:dyDescent="0.3">
      <c r="AD258" s="44">
        <v>196</v>
      </c>
      <c r="AE258" s="39">
        <v>513.09527181153157</v>
      </c>
      <c r="AF258" s="39">
        <v>73.044728188468412</v>
      </c>
      <c r="AG258" s="45">
        <v>0.84872401343893822</v>
      </c>
    </row>
    <row r="259" spans="30:33" ht="15.75" customHeight="1" x14ac:dyDescent="0.3">
      <c r="AD259" s="44">
        <v>197</v>
      </c>
      <c r="AE259" s="39">
        <v>258.88256556475551</v>
      </c>
      <c r="AF259" s="39">
        <v>74.477434435244504</v>
      </c>
      <c r="AG259" s="45">
        <v>0.86537096697000504</v>
      </c>
    </row>
    <row r="260" spans="30:33" ht="15.75" customHeight="1" x14ac:dyDescent="0.3">
      <c r="AD260" s="44">
        <v>198</v>
      </c>
      <c r="AE260" s="39">
        <v>190.33933971095641</v>
      </c>
      <c r="AF260" s="39">
        <v>55.110660289043608</v>
      </c>
      <c r="AG260" s="45">
        <v>0.64034382690975888</v>
      </c>
    </row>
    <row r="261" spans="30:33" ht="15.75" customHeight="1" x14ac:dyDescent="0.3">
      <c r="AD261" s="44">
        <v>199</v>
      </c>
      <c r="AE261" s="39">
        <v>348.98589189314492</v>
      </c>
      <c r="AF261" s="39">
        <v>30.104108106855051</v>
      </c>
      <c r="AG261" s="45">
        <v>0.34978676883465071</v>
      </c>
    </row>
    <row r="262" spans="30:33" ht="15.75" customHeight="1" x14ac:dyDescent="0.3">
      <c r="AD262" s="44">
        <v>200</v>
      </c>
      <c r="AE262" s="39">
        <v>324.67508047110488</v>
      </c>
      <c r="AF262" s="39">
        <v>116.2749195288951</v>
      </c>
      <c r="AG262" s="45">
        <v>1.3510258551476531</v>
      </c>
    </row>
    <row r="263" spans="30:33" ht="15.75" customHeight="1" x14ac:dyDescent="0.3"/>
    <row r="264" spans="30:33" ht="15.75" customHeight="1" x14ac:dyDescent="0.3"/>
    <row r="265" spans="30:33" ht="15.75" customHeight="1" x14ac:dyDescent="0.3"/>
    <row r="266" spans="30:33" ht="15.75" customHeight="1" x14ac:dyDescent="0.3"/>
    <row r="267" spans="30:33" ht="15.75" customHeight="1" x14ac:dyDescent="0.3"/>
    <row r="268" spans="30:33" ht="15.75" customHeight="1" x14ac:dyDescent="0.3"/>
    <row r="269" spans="30:33" ht="15.75" customHeight="1" x14ac:dyDescent="0.3"/>
    <row r="270" spans="30:33" ht="15.75" customHeight="1" x14ac:dyDescent="0.3"/>
    <row r="271" spans="30:33" ht="15.75" customHeight="1" x14ac:dyDescent="0.3"/>
    <row r="272" spans="30:33"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R201" xr:uid="{00000000-0009-0000-0000-000001000000}"/>
  <conditionalFormatting sqref="A2:R201">
    <cfRule type="expression" dxfId="12" priority="1">
      <formula>$K2="Top 10"</formula>
    </cfRule>
  </conditionalFormatting>
  <conditionalFormatting sqref="O2:O201">
    <cfRule type="colorScale" priority="2">
      <colorScale>
        <cfvo type="min"/>
        <cfvo type="percentile" val="50"/>
        <cfvo type="max"/>
        <color rgb="FFF8696B"/>
        <color rgb="FFFFEB84"/>
        <color rgb="FF63BE7B"/>
      </colorScale>
    </cfRule>
  </conditionalFormatting>
  <conditionalFormatting sqref="T16:Y22">
    <cfRule type="expression" dxfId="11" priority="7">
      <formula>$T16=$U$3</formula>
    </cfRule>
  </conditionalFormatting>
  <conditionalFormatting sqref="T22:Y22">
    <cfRule type="expression" dxfId="10" priority="8">
      <formula>TRUE</formula>
    </cfRule>
  </conditionalFormatting>
  <conditionalFormatting sqref="W5:X9">
    <cfRule type="cellIs" dxfId="9" priority="3" operator="greaterThan">
      <formula>0</formula>
    </cfRule>
    <cfRule type="cellIs" dxfId="8" priority="4" operator="lessThan">
      <formula>0</formula>
    </cfRule>
  </conditionalFormatting>
  <conditionalFormatting sqref="X16:Y22">
    <cfRule type="cellIs" dxfId="7" priority="5" operator="greaterThan">
      <formula>0</formula>
    </cfRule>
    <cfRule type="cellIs" dxfId="6" priority="6" operator="lessThan">
      <formula>0</formula>
    </cfRule>
  </conditionalFormatting>
  <dataValidations count="1">
    <dataValidation type="decimal" showErrorMessage="1" errorTitle="Discount" error="Enter a value between 0% and 50%" sqref="U3" xr:uid="{00000000-0002-0000-0100-000000000000}">
      <formula1>0</formula1>
      <formula2>0.5</formula2>
    </dataValidation>
  </dataValidations>
  <hyperlinks>
    <hyperlink ref="AA3" location="'Dataset'!T1" display="1. What-If Analysis" xr:uid="{00000000-0004-0000-0100-000000000000}"/>
    <hyperlink ref="AA4" location="'Dataset'!T42" display="2. Descriptive Statistics" xr:uid="{00000000-0004-0000-0100-000001000000}"/>
    <hyperlink ref="AA5" location="'Dataset'!T60" display="3. Regression (ToolPak format)" xr:uid="{00000000-0004-0000-0100-000002000000}"/>
    <hyperlink ref="AA6" location="'Dataset'!AD60" display="4. Residual Output" xr:uid="{00000000-0004-0000-0100-000003000000}"/>
    <hyperlink ref="AA7" location="'Dataset'!T85" display="5. Histogram" xr:uid="{00000000-0004-0000-0100-000004000000}"/>
  </hyperlinks>
  <pageMargins left="0.75" right="0.75" top="1" bottom="1" header="0" footer="0"/>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597"/>
    <pageSetUpPr fitToPage="1"/>
  </sheetPr>
  <dimension ref="A1:U73"/>
  <sheetViews>
    <sheetView tabSelected="1" zoomScale="52" workbookViewId="0">
      <pane ySplit="2" topLeftCell="A8" activePane="bottomLeft" state="frozen"/>
      <selection pane="bottomLeft"/>
    </sheetView>
  </sheetViews>
  <sheetFormatPr defaultRowHeight="14.4" x14ac:dyDescent="0.3"/>
  <cols>
    <col min="1" max="1" width="13.109375" bestFit="1" customWidth="1"/>
    <col min="2" max="2" width="11.6640625" bestFit="1" customWidth="1"/>
    <col min="3" max="3" width="12.109375" bestFit="1" customWidth="1"/>
    <col min="4" max="4" width="10" bestFit="1" customWidth="1"/>
    <col min="5" max="5" width="8.6640625" bestFit="1" customWidth="1"/>
    <col min="6" max="6" width="13.5546875" bestFit="1" customWidth="1"/>
    <col min="7" max="7" width="10.77734375" bestFit="1" customWidth="1"/>
    <col min="8" max="8" width="3" customWidth="1"/>
    <col min="9" max="9" width="12" customWidth="1"/>
    <col min="10" max="10" width="20" customWidth="1"/>
    <col min="11" max="11" width="9" customWidth="1"/>
    <col min="12" max="13" width="13" customWidth="1"/>
    <col min="14" max="14" width="7" customWidth="1"/>
    <col min="15" max="15" width="12" customWidth="1"/>
    <col min="16" max="16" width="3" customWidth="1"/>
    <col min="17" max="17" width="30" customWidth="1"/>
    <col min="18" max="18" width="14" customWidth="1"/>
    <col min="19" max="19" width="20" customWidth="1"/>
    <col min="20" max="21" width="14" customWidth="1"/>
  </cols>
  <sheetData>
    <row r="1" spans="1:21" ht="17.399999999999999" x14ac:dyDescent="0.3">
      <c r="A1" s="51" t="s">
        <v>165</v>
      </c>
    </row>
    <row r="3" spans="1:21" x14ac:dyDescent="0.3">
      <c r="A3" s="7" t="s">
        <v>166</v>
      </c>
      <c r="B3" s="35"/>
      <c r="C3" s="35"/>
      <c r="D3" s="35"/>
      <c r="E3" s="35"/>
      <c r="F3" s="35"/>
      <c r="G3" s="10"/>
      <c r="I3" s="7" t="s">
        <v>167</v>
      </c>
      <c r="J3" s="35"/>
      <c r="K3" s="35"/>
      <c r="L3" s="35"/>
      <c r="M3" s="35"/>
      <c r="N3" s="35"/>
      <c r="O3" s="10"/>
      <c r="Q3" s="7" t="s">
        <v>168</v>
      </c>
      <c r="R3" s="35"/>
      <c r="S3" s="35"/>
      <c r="T3" s="35"/>
      <c r="U3" s="10"/>
    </row>
    <row r="4" spans="1:21" ht="28.05" customHeight="1" x14ac:dyDescent="0.3">
      <c r="A4" s="6" t="s">
        <v>4</v>
      </c>
      <c r="B4" s="6" t="s">
        <v>25</v>
      </c>
      <c r="C4" s="6" t="s">
        <v>28</v>
      </c>
      <c r="D4" s="6" t="s">
        <v>42</v>
      </c>
      <c r="E4" s="6" t="s">
        <v>52</v>
      </c>
      <c r="F4" s="6" t="s">
        <v>69</v>
      </c>
      <c r="G4" s="6" t="s">
        <v>169</v>
      </c>
      <c r="I4" s="6" t="s">
        <v>170</v>
      </c>
      <c r="J4" s="6" t="s">
        <v>171</v>
      </c>
      <c r="K4" s="6" t="s">
        <v>172</v>
      </c>
      <c r="L4" s="6" t="s">
        <v>73</v>
      </c>
      <c r="M4" s="6" t="s">
        <v>74</v>
      </c>
      <c r="N4" s="6" t="s">
        <v>173</v>
      </c>
      <c r="O4" s="6" t="s">
        <v>174</v>
      </c>
      <c r="Q4" s="52" t="s">
        <v>175</v>
      </c>
      <c r="R4" s="47">
        <f>ROUND(PERCENTILE($L$5:$L$34,0.75),2)</f>
        <v>8236.43</v>
      </c>
    </row>
    <row r="5" spans="1:21" x14ac:dyDescent="0.3">
      <c r="A5" s="22" t="s">
        <v>63</v>
      </c>
      <c r="B5" s="26">
        <f>SUMIFS(Dataset!$E$2:$E$201,Dataset!$C$2:$C$201,$A5,Dataset!$D$2:$D$201,B$4)</f>
        <v>11297.150000000001</v>
      </c>
      <c r="C5" s="26">
        <f>SUMIFS(Dataset!$E$2:$E$201,Dataset!$C$2:$C$201,$A5,Dataset!$D$2:$D$201,C$4)</f>
        <v>12200.26</v>
      </c>
      <c r="D5" s="26">
        <f>SUMIFS(Dataset!$E$2:$E$201,Dataset!$C$2:$C$201,$A5,Dataset!$D$2:$D$201,D$4)</f>
        <v>6621.24</v>
      </c>
      <c r="E5" s="26">
        <f>SUMIFS(Dataset!$E$2:$E$201,Dataset!$C$2:$C$201,$A5,Dataset!$D$2:$D$201,E$4)</f>
        <v>4876.96</v>
      </c>
      <c r="F5" s="26">
        <f>SUMIFS(Dataset!$E$2:$E$201,Dataset!$C$2:$C$201,$A5,Dataset!$D$2:$D$201,F$4)</f>
        <v>8472.7199999999993</v>
      </c>
      <c r="G5" s="30">
        <f>SUM(B5:F5)</f>
        <v>43468.33</v>
      </c>
      <c r="I5" s="53" t="s">
        <v>55</v>
      </c>
      <c r="J5" s="54" t="str">
        <f>INDEX(Dataset!$B$2:$B$201,MATCH(I5,Dataset!$A$2:$A$201,0))</f>
        <v>Linda Wilson</v>
      </c>
      <c r="K5" s="55">
        <f>COUNTIFS(Dataset!$A$2:$A$201,I5)</f>
        <v>7</v>
      </c>
      <c r="L5" s="26">
        <f>SUMIFS(Dataset!$E$2:$E$201,Dataset!$A$2:$A$201,I5)</f>
        <v>6549.55</v>
      </c>
      <c r="M5" s="26">
        <f>SUMIFS(Dataset!$I$2:$I$201,Dataset!$A$2:$A$201,I5)</f>
        <v>1868.7700000000004</v>
      </c>
      <c r="N5" s="55">
        <f>RANK(L5,$L$5:$L$34)+COUNTIF($L$5:L5,L5)-1</f>
        <v>15</v>
      </c>
      <c r="O5" s="18" t="str">
        <f t="shared" ref="O5:O34" si="0">IF(L5&gt;=$R$4,"High Value","Standard")</f>
        <v>Standard</v>
      </c>
      <c r="Q5" s="22" t="s">
        <v>176</v>
      </c>
      <c r="R5" s="56">
        <f>COUNTIF($O$5:$O$34,"High Value")</f>
        <v>8</v>
      </c>
    </row>
    <row r="6" spans="1:21" x14ac:dyDescent="0.3">
      <c r="A6" s="22" t="s">
        <v>33</v>
      </c>
      <c r="B6" s="26">
        <f>SUMIFS(Dataset!$E$2:$E$201,Dataset!$C$2:$C$201,$A6,Dataset!$D$2:$D$201,B$4)</f>
        <v>11389.090000000002</v>
      </c>
      <c r="C6" s="26">
        <f>SUMIFS(Dataset!$E$2:$E$201,Dataset!$C$2:$C$201,$A6,Dataset!$D$2:$D$201,C$4)</f>
        <v>2401.4499999999998</v>
      </c>
      <c r="D6" s="26">
        <f>SUMIFS(Dataset!$E$2:$E$201,Dataset!$C$2:$C$201,$A6,Dataset!$D$2:$D$201,D$4)</f>
        <v>2869.54</v>
      </c>
      <c r="E6" s="26">
        <f>SUMIFS(Dataset!$E$2:$E$201,Dataset!$C$2:$C$201,$A6,Dataset!$D$2:$D$201,E$4)</f>
        <v>7592.3399999999992</v>
      </c>
      <c r="F6" s="26">
        <f>SUMIFS(Dataset!$E$2:$E$201,Dataset!$C$2:$C$201,$A6,Dataset!$D$2:$D$201,F$4)</f>
        <v>8189.2200000000012</v>
      </c>
      <c r="G6" s="30">
        <f>SUM(B6:F6)</f>
        <v>32441.640000000003</v>
      </c>
      <c r="I6" s="53" t="s">
        <v>114</v>
      </c>
      <c r="J6" s="54" t="str">
        <f>INDEX(Dataset!$B$2:$B$201,MATCH(I6,Dataset!$A$2:$A$201,0))</f>
        <v>Lisa Davis</v>
      </c>
      <c r="K6" s="55">
        <f>COUNTIFS(Dataset!$A$2:$A$201,I6)</f>
        <v>6</v>
      </c>
      <c r="L6" s="26">
        <f>SUMIFS(Dataset!$E$2:$E$201,Dataset!$A$2:$A$201,I6)</f>
        <v>6481.43</v>
      </c>
      <c r="M6" s="26">
        <f>SUMIFS(Dataset!$I$2:$I$201,Dataset!$A$2:$A$201,I6)</f>
        <v>2210.7399999999998</v>
      </c>
      <c r="N6" s="55">
        <f>RANK(L6,$L$5:$L$34)+COUNTIF($L$5:L6,L6)-1</f>
        <v>17</v>
      </c>
      <c r="O6" s="18" t="str">
        <f t="shared" si="0"/>
        <v>Standard</v>
      </c>
      <c r="Q6" s="6" t="s">
        <v>173</v>
      </c>
      <c r="R6" s="6" t="s">
        <v>170</v>
      </c>
      <c r="S6" s="6" t="s">
        <v>171</v>
      </c>
      <c r="T6" s="6" t="s">
        <v>73</v>
      </c>
      <c r="U6" s="6" t="s">
        <v>74</v>
      </c>
    </row>
    <row r="7" spans="1:21" x14ac:dyDescent="0.3">
      <c r="A7" s="22" t="s">
        <v>47</v>
      </c>
      <c r="B7" s="26">
        <f>SUMIFS(Dataset!$E$2:$E$201,Dataset!$C$2:$C$201,$A7,Dataset!$D$2:$D$201,B$4)</f>
        <v>8037.0100000000011</v>
      </c>
      <c r="C7" s="26">
        <f>SUMIFS(Dataset!$E$2:$E$201,Dataset!$C$2:$C$201,$A7,Dataset!$D$2:$D$201,C$4)</f>
        <v>8422.82</v>
      </c>
      <c r="D7" s="26">
        <f>SUMIFS(Dataset!$E$2:$E$201,Dataset!$C$2:$C$201,$A7,Dataset!$D$2:$D$201,D$4)</f>
        <v>8191.7099999999991</v>
      </c>
      <c r="E7" s="26">
        <f>SUMIFS(Dataset!$E$2:$E$201,Dataset!$C$2:$C$201,$A7,Dataset!$D$2:$D$201,E$4)</f>
        <v>6978.08</v>
      </c>
      <c r="F7" s="26">
        <f>SUMIFS(Dataset!$E$2:$E$201,Dataset!$C$2:$C$201,$A7,Dataset!$D$2:$D$201,F$4)</f>
        <v>3345.8</v>
      </c>
      <c r="G7" s="30">
        <f>SUM(B7:F7)</f>
        <v>34975.420000000006</v>
      </c>
      <c r="I7" s="53" t="s">
        <v>119</v>
      </c>
      <c r="J7" s="54" t="str">
        <f>INDEX(Dataset!$B$2:$B$201,MATCH(I7,Dataset!$A$2:$A$201,0))</f>
        <v>Emma Davis</v>
      </c>
      <c r="K7" s="55">
        <f>COUNTIFS(Dataset!$A$2:$A$201,I7)</f>
        <v>9</v>
      </c>
      <c r="L7" s="26">
        <f>SUMIFS(Dataset!$E$2:$E$201,Dataset!$A$2:$A$201,I7)</f>
        <v>8490.18</v>
      </c>
      <c r="M7" s="26">
        <f>SUMIFS(Dataset!$I$2:$I$201,Dataset!$A$2:$A$201,I7)</f>
        <v>2652.75</v>
      </c>
      <c r="N7" s="55">
        <f>RANK(L7,$L$5:$L$34)+COUNTIF($L$5:L7,L7)-1</f>
        <v>7</v>
      </c>
      <c r="O7" s="18" t="str">
        <f t="shared" si="0"/>
        <v>High Value</v>
      </c>
      <c r="Q7" s="57">
        <f>IF(ROWS(Q$7:Q7)&lt;=$R$5,ROWS(Q$7:Q7),"")</f>
        <v>1</v>
      </c>
      <c r="R7" s="18" t="str">
        <f t="shared" ref="R7:R16" si="1">IF($Q7="","",INDEX($I$5:$I$34,MATCH($Q7,$N$5:$N$34,0)))</f>
        <v>CUST015</v>
      </c>
      <c r="S7" s="54" t="str">
        <f t="shared" ref="S7:S16" si="2">IF($Q7="","",INDEX($J$5:$J$34,MATCH($Q7,$N$5:$N$34,0)))</f>
        <v>Linda Taylor</v>
      </c>
      <c r="T7" s="26">
        <f t="shared" ref="T7:T16" si="3">IF($Q7="","",INDEX($L$5:$L$34,MATCH($Q7,$N$5:$N$34,0)))</f>
        <v>11611.060000000001</v>
      </c>
      <c r="U7" s="26">
        <f t="shared" ref="U7:U16" si="4">IF($Q7="","",INDEX($M$5:$M$34,MATCH($Q7,$N$5:$N$34,0)))</f>
        <v>4201.59</v>
      </c>
    </row>
    <row r="8" spans="1:21" x14ac:dyDescent="0.3">
      <c r="A8" s="22" t="s">
        <v>41</v>
      </c>
      <c r="B8" s="26">
        <f>SUMIFS(Dataset!$E$2:$E$201,Dataset!$C$2:$C$201,$A8,Dataset!$D$2:$D$201,B$4)</f>
        <v>9588.0400000000009</v>
      </c>
      <c r="C8" s="26">
        <f>SUMIFS(Dataset!$E$2:$E$201,Dataset!$C$2:$C$201,$A8,Dataset!$D$2:$D$201,C$4)</f>
        <v>8393.630000000001</v>
      </c>
      <c r="D8" s="26">
        <f>SUMIFS(Dataset!$E$2:$E$201,Dataset!$C$2:$C$201,$A8,Dataset!$D$2:$D$201,D$4)</f>
        <v>11989.070000000003</v>
      </c>
      <c r="E8" s="26">
        <f>SUMIFS(Dataset!$E$2:$E$201,Dataset!$C$2:$C$201,$A8,Dataset!$D$2:$D$201,E$4)</f>
        <v>7982.73</v>
      </c>
      <c r="F8" s="26">
        <f>SUMIFS(Dataset!$E$2:$E$201,Dataset!$C$2:$C$201,$A8,Dataset!$D$2:$D$201,F$4)</f>
        <v>2295.3199999999997</v>
      </c>
      <c r="G8" s="30">
        <f>SUM(B8:F8)</f>
        <v>40248.79</v>
      </c>
      <c r="I8" s="53" t="s">
        <v>153</v>
      </c>
      <c r="J8" s="54" t="str">
        <f>INDEX(Dataset!$B$2:$B$201,MATCH(I8,Dataset!$A$2:$A$201,0))</f>
        <v>Lisa Thomas</v>
      </c>
      <c r="K8" s="55">
        <f>COUNTIFS(Dataset!$A$2:$A$201,I8)</f>
        <v>7</v>
      </c>
      <c r="L8" s="26">
        <f>SUMIFS(Dataset!$E$2:$E$201,Dataset!$A$2:$A$201,I8)</f>
        <v>7813.59</v>
      </c>
      <c r="M8" s="26">
        <f>SUMIFS(Dataset!$I$2:$I$201,Dataset!$A$2:$A$201,I8)</f>
        <v>3211.82</v>
      </c>
      <c r="N8" s="55">
        <f>RANK(L8,$L$5:$L$34)+COUNTIF($L$5:L8,L8)-1</f>
        <v>10</v>
      </c>
      <c r="O8" s="18" t="str">
        <f t="shared" si="0"/>
        <v>Standard</v>
      </c>
      <c r="Q8" s="57">
        <f>IF(ROWS(Q$7:Q8)&lt;=$R$5,ROWS(Q$7:Q8),"")</f>
        <v>2</v>
      </c>
      <c r="R8" s="18" t="str">
        <f t="shared" si="1"/>
        <v>CUST028</v>
      </c>
      <c r="S8" s="54" t="str">
        <f t="shared" si="2"/>
        <v>Linda Taylor</v>
      </c>
      <c r="T8" s="26">
        <f t="shared" si="3"/>
        <v>10293.870000000001</v>
      </c>
      <c r="U8" s="26">
        <f t="shared" si="4"/>
        <v>3541.02</v>
      </c>
    </row>
    <row r="9" spans="1:21" x14ac:dyDescent="0.3">
      <c r="A9" s="22" t="s">
        <v>24</v>
      </c>
      <c r="B9" s="26">
        <f>SUMIFS(Dataset!$E$2:$E$201,Dataset!$C$2:$C$201,$A9,Dataset!$D$2:$D$201,B$4)</f>
        <v>6691.17</v>
      </c>
      <c r="C9" s="26">
        <f>SUMIFS(Dataset!$E$2:$E$201,Dataset!$C$2:$C$201,$A9,Dataset!$D$2:$D$201,C$4)</f>
        <v>10509.429999999998</v>
      </c>
      <c r="D9" s="26">
        <f>SUMIFS(Dataset!$E$2:$E$201,Dataset!$C$2:$C$201,$A9,Dataset!$D$2:$D$201,D$4)</f>
        <v>11372.44</v>
      </c>
      <c r="E9" s="26">
        <f>SUMIFS(Dataset!$E$2:$E$201,Dataset!$C$2:$C$201,$A9,Dataset!$D$2:$D$201,E$4)</f>
        <v>9182.7800000000007</v>
      </c>
      <c r="F9" s="26">
        <f>SUMIFS(Dataset!$E$2:$E$201,Dataset!$C$2:$C$201,$A9,Dataset!$D$2:$D$201,F$4)</f>
        <v>6327.76</v>
      </c>
      <c r="G9" s="30">
        <f>SUM(B9:F9)</f>
        <v>44083.58</v>
      </c>
      <c r="I9" s="53" t="s">
        <v>40</v>
      </c>
      <c r="J9" s="54" t="str">
        <f>INDEX(Dataset!$B$2:$B$201,MATCH(I9,Dataset!$A$2:$A$201,0))</f>
        <v>Robert Anderson</v>
      </c>
      <c r="K9" s="55">
        <f>COUNTIFS(Dataset!$A$2:$A$201,I9)</f>
        <v>6</v>
      </c>
      <c r="L9" s="26">
        <f>SUMIFS(Dataset!$E$2:$E$201,Dataset!$A$2:$A$201,I9)</f>
        <v>6666.130000000001</v>
      </c>
      <c r="M9" s="26">
        <f>SUMIFS(Dataset!$I$2:$I$201,Dataset!$A$2:$A$201,I9)</f>
        <v>1982.3899999999999</v>
      </c>
      <c r="N9" s="55">
        <f>RANK(L9,$L$5:$L$34)+COUNTIF($L$5:L9,L9)-1</f>
        <v>14</v>
      </c>
      <c r="O9" s="18" t="str">
        <f t="shared" si="0"/>
        <v>Standard</v>
      </c>
      <c r="Q9" s="57">
        <f>IF(ROWS(Q$7:Q9)&lt;=$R$5,ROWS(Q$7:Q9),"")</f>
        <v>3</v>
      </c>
      <c r="R9" s="18" t="str">
        <f t="shared" si="1"/>
        <v>CUST007</v>
      </c>
      <c r="S9" s="54" t="str">
        <f t="shared" si="2"/>
        <v>Michael Anderson</v>
      </c>
      <c r="T9" s="26">
        <f t="shared" si="3"/>
        <v>9941.8799999999992</v>
      </c>
      <c r="U9" s="26">
        <f t="shared" si="4"/>
        <v>3936.2599999999998</v>
      </c>
    </row>
    <row r="10" spans="1:21" x14ac:dyDescent="0.3">
      <c r="A10" s="29" t="s">
        <v>169</v>
      </c>
      <c r="B10" s="30">
        <f t="shared" ref="B10:G10" si="5">SUM(B5:B9)</f>
        <v>47002.460000000006</v>
      </c>
      <c r="C10" s="30">
        <f t="shared" si="5"/>
        <v>41927.589999999997</v>
      </c>
      <c r="D10" s="30">
        <f t="shared" si="5"/>
        <v>41044</v>
      </c>
      <c r="E10" s="30">
        <f t="shared" si="5"/>
        <v>36612.89</v>
      </c>
      <c r="F10" s="30">
        <f t="shared" si="5"/>
        <v>28630.82</v>
      </c>
      <c r="G10" s="30">
        <f t="shared" si="5"/>
        <v>195217.76</v>
      </c>
      <c r="I10" s="53" t="s">
        <v>83</v>
      </c>
      <c r="J10" s="54" t="str">
        <f>INDEX(Dataset!$B$2:$B$201,MATCH(I10,Dataset!$A$2:$A$201,0))</f>
        <v>Mary Jackson</v>
      </c>
      <c r="K10" s="55">
        <f>COUNTIFS(Dataset!$A$2:$A$201,I10)</f>
        <v>2</v>
      </c>
      <c r="L10" s="26">
        <f>SUMIFS(Dataset!$E$2:$E$201,Dataset!$A$2:$A$201,I10)</f>
        <v>2699.75</v>
      </c>
      <c r="M10" s="26">
        <f>SUMIFS(Dataset!$I$2:$I$201,Dataset!$A$2:$A$201,I10)</f>
        <v>837.06</v>
      </c>
      <c r="N10" s="55">
        <f>RANK(L10,$L$5:$L$34)+COUNTIF($L$5:L10,L10)-1</f>
        <v>30</v>
      </c>
      <c r="O10" s="18" t="str">
        <f t="shared" si="0"/>
        <v>Standard</v>
      </c>
      <c r="Q10" s="57">
        <f>IF(ROWS(Q$7:Q10)&lt;=$R$5,ROWS(Q$7:Q10),"")</f>
        <v>4</v>
      </c>
      <c r="R10" s="18" t="str">
        <f t="shared" si="1"/>
        <v>CUST008</v>
      </c>
      <c r="S10" s="54" t="str">
        <f t="shared" si="2"/>
        <v>Robert Anderson</v>
      </c>
      <c r="T10" s="26">
        <f t="shared" si="3"/>
        <v>9760.7999999999993</v>
      </c>
      <c r="U10" s="26">
        <f t="shared" si="4"/>
        <v>3442.48</v>
      </c>
    </row>
    <row r="11" spans="1:21" x14ac:dyDescent="0.3">
      <c r="I11" s="53" t="s">
        <v>50</v>
      </c>
      <c r="J11" s="54" t="str">
        <f>INDEX(Dataset!$B$2:$B$201,MATCH(I11,Dataset!$A$2:$A$201,0))</f>
        <v>Michael Anderson</v>
      </c>
      <c r="K11" s="55">
        <f>COUNTIFS(Dataset!$A$2:$A$201,I11)</f>
        <v>10</v>
      </c>
      <c r="L11" s="26">
        <f>SUMIFS(Dataset!$E$2:$E$201,Dataset!$A$2:$A$201,I11)</f>
        <v>9941.8799999999992</v>
      </c>
      <c r="M11" s="26">
        <f>SUMIFS(Dataset!$I$2:$I$201,Dataset!$A$2:$A$201,I11)</f>
        <v>3936.2599999999998</v>
      </c>
      <c r="N11" s="55">
        <f>RANK(L11,$L$5:$L$34)+COUNTIF($L$5:L11,L11)-1</f>
        <v>3</v>
      </c>
      <c r="O11" s="18" t="str">
        <f t="shared" si="0"/>
        <v>High Value</v>
      </c>
      <c r="Q11" s="57">
        <f>IF(ROWS(Q$7:Q11)&lt;=$R$5,ROWS(Q$7:Q11),"")</f>
        <v>5</v>
      </c>
      <c r="R11" s="18" t="str">
        <f t="shared" si="1"/>
        <v>CUST026</v>
      </c>
      <c r="S11" s="54" t="str">
        <f t="shared" si="2"/>
        <v>Mary Davis</v>
      </c>
      <c r="T11" s="26">
        <f t="shared" si="3"/>
        <v>9371.81</v>
      </c>
      <c r="U11" s="26">
        <f t="shared" si="4"/>
        <v>2922.0199999999995</v>
      </c>
    </row>
    <row r="12" spans="1:21" x14ac:dyDescent="0.3">
      <c r="I12" s="53" t="s">
        <v>81</v>
      </c>
      <c r="J12" s="54" t="str">
        <f>INDEX(Dataset!$B$2:$B$201,MATCH(I12,Dataset!$A$2:$A$201,0))</f>
        <v>Robert Anderson</v>
      </c>
      <c r="K12" s="55">
        <f>COUNTIFS(Dataset!$A$2:$A$201,I12)</f>
        <v>10</v>
      </c>
      <c r="L12" s="26">
        <f>SUMIFS(Dataset!$E$2:$E$201,Dataset!$A$2:$A$201,I12)</f>
        <v>9760.7999999999993</v>
      </c>
      <c r="M12" s="26">
        <f>SUMIFS(Dataset!$I$2:$I$201,Dataset!$A$2:$A$201,I12)</f>
        <v>3442.48</v>
      </c>
      <c r="N12" s="55">
        <f>RANK(L12,$L$5:$L$34)+COUNTIF($L$5:L12,L12)-1</f>
        <v>4</v>
      </c>
      <c r="O12" s="18" t="str">
        <f t="shared" si="0"/>
        <v>High Value</v>
      </c>
      <c r="Q12" s="57">
        <f>IF(ROWS(Q$7:Q12)&lt;=$R$5,ROWS(Q$7:Q12),"")</f>
        <v>6</v>
      </c>
      <c r="R12" s="18" t="str">
        <f t="shared" si="1"/>
        <v>CUST021</v>
      </c>
      <c r="S12" s="54" t="str">
        <f t="shared" si="2"/>
        <v>Sarah Anderson</v>
      </c>
      <c r="T12" s="26">
        <f t="shared" si="3"/>
        <v>8740.18</v>
      </c>
      <c r="U12" s="26">
        <f t="shared" si="4"/>
        <v>2848.62</v>
      </c>
    </row>
    <row r="13" spans="1:21" x14ac:dyDescent="0.3">
      <c r="A13" s="7" t="s">
        <v>177</v>
      </c>
      <c r="B13" s="35"/>
      <c r="C13" s="35"/>
      <c r="D13" s="35"/>
      <c r="E13" s="35"/>
      <c r="F13" s="10"/>
      <c r="I13" s="53" t="s">
        <v>61</v>
      </c>
      <c r="J13" s="54" t="str">
        <f>INDEX(Dataset!$B$2:$B$201,MATCH(I13,Dataset!$A$2:$A$201,0))</f>
        <v>Linda Jackson</v>
      </c>
      <c r="K13" s="55">
        <f>COUNTIFS(Dataset!$A$2:$A$201,I13)</f>
        <v>7</v>
      </c>
      <c r="L13" s="26">
        <f>SUMIFS(Dataset!$E$2:$E$201,Dataset!$A$2:$A$201,I13)</f>
        <v>6505.2</v>
      </c>
      <c r="M13" s="26">
        <f>SUMIFS(Dataset!$I$2:$I$201,Dataset!$A$2:$A$201,I13)</f>
        <v>2052.54</v>
      </c>
      <c r="N13" s="55">
        <f>RANK(L13,$L$5:$L$34)+COUNTIF($L$5:L13,L13)-1</f>
        <v>16</v>
      </c>
      <c r="O13" s="18" t="str">
        <f t="shared" si="0"/>
        <v>Standard</v>
      </c>
      <c r="Q13" s="57">
        <f>IF(ROWS(Q$7:Q13)&lt;=$R$5,ROWS(Q$7:Q13),"")</f>
        <v>7</v>
      </c>
      <c r="R13" s="18" t="str">
        <f t="shared" si="1"/>
        <v>CUST003</v>
      </c>
      <c r="S13" s="54" t="str">
        <f t="shared" si="2"/>
        <v>Emma Davis</v>
      </c>
      <c r="T13" s="26">
        <f t="shared" si="3"/>
        <v>8490.18</v>
      </c>
      <c r="U13" s="26">
        <f t="shared" si="4"/>
        <v>2652.75</v>
      </c>
    </row>
    <row r="14" spans="1:21" x14ac:dyDescent="0.3">
      <c r="A14" s="6" t="s">
        <v>4</v>
      </c>
      <c r="B14" s="6" t="s">
        <v>172</v>
      </c>
      <c r="C14" s="6" t="s">
        <v>6</v>
      </c>
      <c r="D14" s="6" t="s">
        <v>10</v>
      </c>
      <c r="E14" s="6" t="s">
        <v>75</v>
      </c>
      <c r="F14" s="6" t="s">
        <v>178</v>
      </c>
      <c r="I14" s="53" t="s">
        <v>64</v>
      </c>
      <c r="J14" s="54" t="str">
        <f>INDEX(Dataset!$B$2:$B$201,MATCH(I14,Dataset!$A$2:$A$201,0))</f>
        <v>David Thomas</v>
      </c>
      <c r="K14" s="55">
        <f>COUNTIFS(Dataset!$A$2:$A$201,I14)</f>
        <v>5</v>
      </c>
      <c r="L14" s="26">
        <f>SUMIFS(Dataset!$E$2:$E$201,Dataset!$A$2:$A$201,I14)</f>
        <v>4259.22</v>
      </c>
      <c r="M14" s="26">
        <f>SUMIFS(Dataset!$I$2:$I$201,Dataset!$A$2:$A$201,I14)</f>
        <v>1529.32</v>
      </c>
      <c r="N14" s="55">
        <f>RANK(L14,$L$5:$L$34)+COUNTIF($L$5:L14,L14)-1</f>
        <v>24</v>
      </c>
      <c r="O14" s="18" t="str">
        <f t="shared" si="0"/>
        <v>Standard</v>
      </c>
      <c r="Q14" s="57">
        <f>IF(ROWS(Q$7:Q14)&lt;=$R$5,ROWS(Q$7:Q14),"")</f>
        <v>8</v>
      </c>
      <c r="R14" s="18" t="str">
        <f t="shared" si="1"/>
        <v>CUST012</v>
      </c>
      <c r="S14" s="54" t="str">
        <f t="shared" si="2"/>
        <v>Robert Anderson</v>
      </c>
      <c r="T14" s="26">
        <f t="shared" si="3"/>
        <v>8339</v>
      </c>
      <c r="U14" s="26">
        <f t="shared" si="4"/>
        <v>2988.7100000000005</v>
      </c>
    </row>
    <row r="15" spans="1:21" x14ac:dyDescent="0.3">
      <c r="A15" s="22" t="s">
        <v>63</v>
      </c>
      <c r="B15" s="55">
        <f>COUNTIFS(Dataset!$C$2:$C$201,$A15)</f>
        <v>44</v>
      </c>
      <c r="C15" s="26">
        <f>SUMIFS(Dataset!$E$2:$E$201,Dataset!$C$2:$C$201,$A15)</f>
        <v>43468.33</v>
      </c>
      <c r="D15" s="26">
        <f>SUMIFS(Dataset!$I$2:$I$201,Dataset!$C$2:$C$201,$A15)</f>
        <v>16068.4</v>
      </c>
      <c r="E15" s="19">
        <f t="shared" ref="E15:E20" si="6">D15/C15</f>
        <v>0.36965763350006775</v>
      </c>
      <c r="F15" s="19">
        <f>AVERAGEIFS(Dataset!$G$2:$G$201,Dataset!$C$2:$C$201,$A15)</f>
        <v>8.6363636363636365E-2</v>
      </c>
      <c r="I15" s="53" t="s">
        <v>106</v>
      </c>
      <c r="J15" s="54" t="str">
        <f>INDEX(Dataset!$B$2:$B$201,MATCH(I15,Dataset!$A$2:$A$201,0))</f>
        <v>Mary Davis</v>
      </c>
      <c r="K15" s="55">
        <f>COUNTIFS(Dataset!$A$2:$A$201,I15)</f>
        <v>4</v>
      </c>
      <c r="L15" s="26">
        <f>SUMIFS(Dataset!$E$2:$E$201,Dataset!$A$2:$A$201,I15)</f>
        <v>3762.2900000000004</v>
      </c>
      <c r="M15" s="26">
        <f>SUMIFS(Dataset!$I$2:$I$201,Dataset!$A$2:$A$201,I15)</f>
        <v>1545.04</v>
      </c>
      <c r="N15" s="55">
        <f>RANK(L15,$L$5:$L$34)+COUNTIF($L$5:L15,L15)-1</f>
        <v>27</v>
      </c>
      <c r="O15" s="18" t="str">
        <f t="shared" si="0"/>
        <v>Standard</v>
      </c>
      <c r="Q15" s="57" t="str">
        <f>IF(ROWS(Q$7:Q15)&lt;=$R$5,ROWS(Q$7:Q15),"")</f>
        <v/>
      </c>
      <c r="R15" s="18" t="str">
        <f t="shared" si="1"/>
        <v/>
      </c>
      <c r="S15" s="54" t="str">
        <f t="shared" si="2"/>
        <v/>
      </c>
      <c r="T15" s="26" t="str">
        <f t="shared" si="3"/>
        <v/>
      </c>
      <c r="U15" s="26" t="str">
        <f t="shared" si="4"/>
        <v/>
      </c>
    </row>
    <row r="16" spans="1:21" x14ac:dyDescent="0.3">
      <c r="A16" s="22" t="s">
        <v>33</v>
      </c>
      <c r="B16" s="55">
        <f>COUNTIFS(Dataset!$C$2:$C$201,$A16)</f>
        <v>32</v>
      </c>
      <c r="C16" s="26">
        <f>SUMIFS(Dataset!$E$2:$E$201,Dataset!$C$2:$C$201,$A16)</f>
        <v>32441.64</v>
      </c>
      <c r="D16" s="26">
        <f>SUMIFS(Dataset!$I$2:$I$201,Dataset!$C$2:$C$201,$A16)</f>
        <v>11638.589999999997</v>
      </c>
      <c r="E16" s="19">
        <f t="shared" si="6"/>
        <v>0.35875467454789572</v>
      </c>
      <c r="F16" s="19">
        <f>AVERAGEIFS(Dataset!$G$2:$G$201,Dataset!$C$2:$C$201,$A16)</f>
        <v>9.2187499999999992E-2</v>
      </c>
      <c r="I16" s="53" t="s">
        <v>26</v>
      </c>
      <c r="J16" s="54" t="str">
        <f>INDEX(Dataset!$B$2:$B$201,MATCH(I16,Dataset!$A$2:$A$201,0))</f>
        <v>Robert Anderson</v>
      </c>
      <c r="K16" s="55">
        <f>COUNTIFS(Dataset!$A$2:$A$201,I16)</f>
        <v>9</v>
      </c>
      <c r="L16" s="26">
        <f>SUMIFS(Dataset!$E$2:$E$201,Dataset!$A$2:$A$201,I16)</f>
        <v>8339</v>
      </c>
      <c r="M16" s="26">
        <f>SUMIFS(Dataset!$I$2:$I$201,Dataset!$A$2:$A$201,I16)</f>
        <v>2988.7100000000005</v>
      </c>
      <c r="N16" s="55">
        <f>RANK(L16,$L$5:$L$34)+COUNTIF($L$5:L16,L16)-1</f>
        <v>8</v>
      </c>
      <c r="O16" s="18" t="str">
        <f t="shared" si="0"/>
        <v>High Value</v>
      </c>
      <c r="Q16" s="57" t="str">
        <f>IF(ROWS(Q$7:Q16)&lt;=$R$5,ROWS(Q$7:Q16),"")</f>
        <v/>
      </c>
      <c r="R16" s="18" t="str">
        <f t="shared" si="1"/>
        <v/>
      </c>
      <c r="S16" s="54" t="str">
        <f t="shared" si="2"/>
        <v/>
      </c>
      <c r="T16" s="26" t="str">
        <f t="shared" si="3"/>
        <v/>
      </c>
      <c r="U16" s="26" t="str">
        <f t="shared" si="4"/>
        <v/>
      </c>
    </row>
    <row r="17" spans="1:21" x14ac:dyDescent="0.3">
      <c r="A17" s="22" t="s">
        <v>47</v>
      </c>
      <c r="B17" s="55">
        <f>COUNTIFS(Dataset!$C$2:$C$201,$A17)</f>
        <v>39</v>
      </c>
      <c r="C17" s="26">
        <f>SUMIFS(Dataset!$E$2:$E$201,Dataset!$C$2:$C$201,$A17)</f>
        <v>34975.42</v>
      </c>
      <c r="D17" s="26">
        <f>SUMIFS(Dataset!$I$2:$I$201,Dataset!$C$2:$C$201,$A17)</f>
        <v>11902.279999999997</v>
      </c>
      <c r="E17" s="19">
        <f t="shared" si="6"/>
        <v>0.34030413358867451</v>
      </c>
      <c r="F17" s="19">
        <f>AVERAGEIFS(Dataset!$G$2:$G$201,Dataset!$C$2:$C$201,$A17)</f>
        <v>0.11666666666666671</v>
      </c>
      <c r="I17" s="53" t="s">
        <v>161</v>
      </c>
      <c r="J17" s="54" t="str">
        <f>INDEX(Dataset!$B$2:$B$201,MATCH(I17,Dataset!$A$2:$A$201,0))</f>
        <v>Robert Anderson</v>
      </c>
      <c r="K17" s="55">
        <f>COUNTIFS(Dataset!$A$2:$A$201,I17)</f>
        <v>4</v>
      </c>
      <c r="L17" s="26">
        <f>SUMIFS(Dataset!$E$2:$E$201,Dataset!$A$2:$A$201,I17)</f>
        <v>4162.4400000000005</v>
      </c>
      <c r="M17" s="26">
        <f>SUMIFS(Dataset!$I$2:$I$201,Dataset!$A$2:$A$201,I17)</f>
        <v>1605.11</v>
      </c>
      <c r="N17" s="55">
        <f>RANK(L17,$L$5:$L$34)+COUNTIF($L$5:L17,L17)-1</f>
        <v>25</v>
      </c>
      <c r="O17" s="18" t="str">
        <f t="shared" si="0"/>
        <v>Standard</v>
      </c>
    </row>
    <row r="18" spans="1:21" x14ac:dyDescent="0.3">
      <c r="A18" s="22" t="s">
        <v>41</v>
      </c>
      <c r="B18" s="55">
        <f>COUNTIFS(Dataset!$C$2:$C$201,$A18)</f>
        <v>42</v>
      </c>
      <c r="C18" s="26">
        <f>SUMIFS(Dataset!$E$2:$E$201,Dataset!$C$2:$C$201,$A18)</f>
        <v>40248.79</v>
      </c>
      <c r="D18" s="26">
        <f>SUMIFS(Dataset!$I$2:$I$201,Dataset!$C$2:$C$201,$A18)</f>
        <v>13691.910000000003</v>
      </c>
      <c r="E18" s="19">
        <f t="shared" si="6"/>
        <v>0.34018190360505257</v>
      </c>
      <c r="F18" s="19">
        <f>AVERAGEIFS(Dataset!$G$2:$G$201,Dataset!$C$2:$C$201,$A18)</f>
        <v>7.976190476190477E-2</v>
      </c>
      <c r="I18" s="53" t="s">
        <v>67</v>
      </c>
      <c r="J18" s="54" t="str">
        <f>INDEX(Dataset!$B$2:$B$201,MATCH(I18,Dataset!$A$2:$A$201,0))</f>
        <v>Emma Davis</v>
      </c>
      <c r="K18" s="55">
        <f>COUNTIFS(Dataset!$A$2:$A$201,I18)</f>
        <v>6</v>
      </c>
      <c r="L18" s="26">
        <f>SUMIFS(Dataset!$E$2:$E$201,Dataset!$A$2:$A$201,I18)</f>
        <v>6729.8899999999994</v>
      </c>
      <c r="M18" s="26">
        <f>SUMIFS(Dataset!$I$2:$I$201,Dataset!$A$2:$A$201,I18)</f>
        <v>2507.1799999999998</v>
      </c>
      <c r="N18" s="55">
        <f>RANK(L18,$L$5:$L$34)+COUNTIF($L$5:L18,L18)-1</f>
        <v>12</v>
      </c>
      <c r="O18" s="18" t="str">
        <f t="shared" si="0"/>
        <v>Standard</v>
      </c>
    </row>
    <row r="19" spans="1:21" x14ac:dyDescent="0.3">
      <c r="A19" s="22" t="s">
        <v>24</v>
      </c>
      <c r="B19" s="55">
        <f>COUNTIFS(Dataset!$C$2:$C$201,$A19)</f>
        <v>43</v>
      </c>
      <c r="C19" s="26">
        <f>SUMIFS(Dataset!$E$2:$E$201,Dataset!$C$2:$C$201,$A19)</f>
        <v>44083.58</v>
      </c>
      <c r="D19" s="26">
        <f>SUMIFS(Dataset!$I$2:$I$201,Dataset!$C$2:$C$201,$A19)</f>
        <v>14985.830000000002</v>
      </c>
      <c r="E19" s="19">
        <f t="shared" si="6"/>
        <v>0.33994131148150858</v>
      </c>
      <c r="F19" s="19">
        <f>AVERAGEIFS(Dataset!$G$2:$G$201,Dataset!$C$2:$C$201,$A19)</f>
        <v>0.1116279069767442</v>
      </c>
      <c r="I19" s="53" t="s">
        <v>95</v>
      </c>
      <c r="J19" s="54" t="str">
        <f>INDEX(Dataset!$B$2:$B$201,MATCH(I19,Dataset!$A$2:$A$201,0))</f>
        <v>Linda Taylor</v>
      </c>
      <c r="K19" s="55">
        <f>COUNTIFS(Dataset!$A$2:$A$201,I19)</f>
        <v>11</v>
      </c>
      <c r="L19" s="26">
        <f>SUMIFS(Dataset!$E$2:$E$201,Dataset!$A$2:$A$201,I19)</f>
        <v>11611.060000000001</v>
      </c>
      <c r="M19" s="26">
        <f>SUMIFS(Dataset!$I$2:$I$201,Dataset!$A$2:$A$201,I19)</f>
        <v>4201.59</v>
      </c>
      <c r="N19" s="55">
        <f>RANK(L19,$L$5:$L$34)+COUNTIF($L$5:L19,L19)-1</f>
        <v>1</v>
      </c>
      <c r="O19" s="18" t="str">
        <f t="shared" si="0"/>
        <v>High Value</v>
      </c>
      <c r="Q19" s="7" t="s">
        <v>179</v>
      </c>
      <c r="R19" s="35"/>
      <c r="S19" s="35"/>
      <c r="T19" s="35"/>
      <c r="U19" s="10"/>
    </row>
    <row r="20" spans="1:21" x14ac:dyDescent="0.3">
      <c r="A20" s="29" t="s">
        <v>142</v>
      </c>
      <c r="B20" s="57">
        <f>SUM(B15:B19)</f>
        <v>200</v>
      </c>
      <c r="C20" s="30">
        <f>SUM(C15:C19)</f>
        <v>195217.76</v>
      </c>
      <c r="D20" s="30">
        <f>SUM(D15:D19)</f>
        <v>68287.010000000009</v>
      </c>
      <c r="E20" s="38">
        <f t="shared" si="6"/>
        <v>0.34979916786259613</v>
      </c>
      <c r="F20" s="38">
        <f>AVERAGE(Dataset!$G$2:$G$201)</f>
        <v>9.7250000000000003E-2</v>
      </c>
      <c r="I20" s="53" t="s">
        <v>97</v>
      </c>
      <c r="J20" s="54" t="str">
        <f>INDEX(Dataset!$B$2:$B$201,MATCH(I20,Dataset!$A$2:$A$201,0))</f>
        <v>Emma Wilson</v>
      </c>
      <c r="K20" s="55">
        <f>COUNTIFS(Dataset!$A$2:$A$201,I20)</f>
        <v>4</v>
      </c>
      <c r="L20" s="26">
        <f>SUMIFS(Dataset!$E$2:$E$201,Dataset!$A$2:$A$201,I20)</f>
        <v>3369.17</v>
      </c>
      <c r="M20" s="26">
        <f>SUMIFS(Dataset!$I$2:$I$201,Dataset!$A$2:$A$201,I20)</f>
        <v>1497.25</v>
      </c>
      <c r="N20" s="55">
        <f>RANK(L20,$L$5:$L$34)+COUNTIF($L$5:L20,L20)-1</f>
        <v>29</v>
      </c>
      <c r="O20" s="18" t="str">
        <f t="shared" si="0"/>
        <v>Standard</v>
      </c>
      <c r="Q20" s="6" t="s">
        <v>173</v>
      </c>
      <c r="R20" s="6" t="s">
        <v>170</v>
      </c>
      <c r="S20" s="6" t="s">
        <v>171</v>
      </c>
      <c r="T20" s="6" t="s">
        <v>73</v>
      </c>
      <c r="U20" s="6" t="s">
        <v>74</v>
      </c>
    </row>
    <row r="21" spans="1:21" x14ac:dyDescent="0.3">
      <c r="I21" s="53" t="s">
        <v>31</v>
      </c>
      <c r="J21" s="54" t="str">
        <f>INDEX(Dataset!$B$2:$B$201,MATCH(I21,Dataset!$A$2:$A$201,0))</f>
        <v>James Taylor</v>
      </c>
      <c r="K21" s="55">
        <f>COUNTIFS(Dataset!$A$2:$A$201,I21)</f>
        <v>4</v>
      </c>
      <c r="L21" s="26">
        <f>SUMIFS(Dataset!$E$2:$E$201,Dataset!$A$2:$A$201,I21)</f>
        <v>3419.2</v>
      </c>
      <c r="M21" s="26">
        <f>SUMIFS(Dataset!$I$2:$I$201,Dataset!$A$2:$A$201,I21)</f>
        <v>1257.21</v>
      </c>
      <c r="N21" s="55">
        <f>RANK(L21,$L$5:$L$34)+COUNTIF($L$5:L21,L21)-1</f>
        <v>28</v>
      </c>
      <c r="O21" s="18" t="str">
        <f t="shared" si="0"/>
        <v>Standard</v>
      </c>
      <c r="Q21" s="58">
        <v>1</v>
      </c>
      <c r="R21" s="18" t="str">
        <f t="shared" ref="R21:R30" si="7">INDEX($I$5:$I$34,MATCH($Q21,$N$5:$N$34,0))</f>
        <v>CUST015</v>
      </c>
      <c r="S21" s="54" t="str">
        <f t="shared" ref="S21:S30" si="8">INDEX($J$5:$J$34,MATCH($Q21,$N$5:$N$34,0))</f>
        <v>Linda Taylor</v>
      </c>
      <c r="T21" s="26">
        <f t="shared" ref="T21:T30" si="9">INDEX($L$5:$L$34,MATCH($Q21,$N$5:$N$34,0))</f>
        <v>11611.060000000001</v>
      </c>
      <c r="U21" s="26">
        <f t="shared" ref="U21:U30" si="10">INDEX($M$5:$M$34,MATCH($Q21,$N$5:$N$34,0))</f>
        <v>4201.59</v>
      </c>
    </row>
    <row r="22" spans="1:21" x14ac:dyDescent="0.3">
      <c r="I22" s="53" t="s">
        <v>163</v>
      </c>
      <c r="J22" s="54" t="str">
        <f>INDEX(Dataset!$B$2:$B$201,MATCH(I22,Dataset!$A$2:$A$201,0))</f>
        <v>Mary Jackson</v>
      </c>
      <c r="K22" s="55">
        <f>COUNTIFS(Dataset!$A$2:$A$201,I22)</f>
        <v>5</v>
      </c>
      <c r="L22" s="26">
        <f>SUMIFS(Dataset!$E$2:$E$201,Dataset!$A$2:$A$201,I22)</f>
        <v>4951.8899999999994</v>
      </c>
      <c r="M22" s="26">
        <f>SUMIFS(Dataset!$I$2:$I$201,Dataset!$A$2:$A$201,I22)</f>
        <v>1821.6399999999999</v>
      </c>
      <c r="N22" s="55">
        <f>RANK(L22,$L$5:$L$34)+COUNTIF($L$5:L22,L22)-1</f>
        <v>20</v>
      </c>
      <c r="O22" s="18" t="str">
        <f t="shared" si="0"/>
        <v>Standard</v>
      </c>
      <c r="Q22" s="58">
        <v>2</v>
      </c>
      <c r="R22" s="18" t="str">
        <f t="shared" si="7"/>
        <v>CUST028</v>
      </c>
      <c r="S22" s="54" t="str">
        <f t="shared" si="8"/>
        <v>Linda Taylor</v>
      </c>
      <c r="T22" s="26">
        <f t="shared" si="9"/>
        <v>10293.870000000001</v>
      </c>
      <c r="U22" s="26">
        <f t="shared" si="10"/>
        <v>3541.02</v>
      </c>
    </row>
    <row r="23" spans="1:21" x14ac:dyDescent="0.3">
      <c r="A23" s="7" t="s">
        <v>180</v>
      </c>
      <c r="B23" s="35"/>
      <c r="C23" s="35"/>
      <c r="D23" s="35"/>
      <c r="E23" s="35"/>
      <c r="F23" s="10"/>
      <c r="I23" s="53" t="s">
        <v>22</v>
      </c>
      <c r="J23" s="54" t="str">
        <f>INDEX(Dataset!$B$2:$B$201,MATCH(I23,Dataset!$A$2:$A$201,0))</f>
        <v>James Davis</v>
      </c>
      <c r="K23" s="55">
        <f>COUNTIFS(Dataset!$A$2:$A$201,I23)</f>
        <v>5</v>
      </c>
      <c r="L23" s="26">
        <f>SUMIFS(Dataset!$E$2:$E$201,Dataset!$A$2:$A$201,I23)</f>
        <v>4640.1099999999997</v>
      </c>
      <c r="M23" s="26">
        <f>SUMIFS(Dataset!$I$2:$I$201,Dataset!$A$2:$A$201,I23)</f>
        <v>1721.12</v>
      </c>
      <c r="N23" s="55">
        <f>RANK(L23,$L$5:$L$34)+COUNTIF($L$5:L23,L23)-1</f>
        <v>21</v>
      </c>
      <c r="O23" s="18" t="str">
        <f t="shared" si="0"/>
        <v>Standard</v>
      </c>
      <c r="Q23" s="58">
        <v>3</v>
      </c>
      <c r="R23" s="18" t="str">
        <f t="shared" si="7"/>
        <v>CUST007</v>
      </c>
      <c r="S23" s="54" t="str">
        <f t="shared" si="8"/>
        <v>Michael Anderson</v>
      </c>
      <c r="T23" s="26">
        <f t="shared" si="9"/>
        <v>9941.8799999999992</v>
      </c>
      <c r="U23" s="26">
        <f t="shared" si="10"/>
        <v>3936.2599999999998</v>
      </c>
    </row>
    <row r="24" spans="1:21" x14ac:dyDescent="0.3">
      <c r="A24" s="6" t="s">
        <v>181</v>
      </c>
      <c r="B24" s="6" t="s">
        <v>172</v>
      </c>
      <c r="C24" s="6" t="s">
        <v>6</v>
      </c>
      <c r="D24" s="6" t="s">
        <v>10</v>
      </c>
      <c r="E24" s="6" t="s">
        <v>75</v>
      </c>
      <c r="F24" s="6" t="s">
        <v>178</v>
      </c>
      <c r="I24" s="53" t="s">
        <v>132</v>
      </c>
      <c r="J24" s="54" t="str">
        <f>INDEX(Dataset!$B$2:$B$201,MATCH(I24,Dataset!$A$2:$A$201,0))</f>
        <v>David Brown</v>
      </c>
      <c r="K24" s="55">
        <f>COUNTIFS(Dataset!$A$2:$A$201,I24)</f>
        <v>4</v>
      </c>
      <c r="L24" s="26">
        <f>SUMIFS(Dataset!$E$2:$E$201,Dataset!$A$2:$A$201,I24)</f>
        <v>4413.71</v>
      </c>
      <c r="M24" s="26">
        <f>SUMIFS(Dataset!$I$2:$I$201,Dataset!$A$2:$A$201,I24)</f>
        <v>1664.79</v>
      </c>
      <c r="N24" s="55">
        <f>RANK(L24,$L$5:$L$34)+COUNTIF($L$5:L24,L24)-1</f>
        <v>23</v>
      </c>
      <c r="O24" s="18" t="str">
        <f t="shared" si="0"/>
        <v>Standard</v>
      </c>
      <c r="Q24" s="58">
        <v>4</v>
      </c>
      <c r="R24" s="18" t="str">
        <f t="shared" si="7"/>
        <v>CUST008</v>
      </c>
      <c r="S24" s="54" t="str">
        <f t="shared" si="8"/>
        <v>Robert Anderson</v>
      </c>
      <c r="T24" s="26">
        <f t="shared" si="9"/>
        <v>9760.7999999999993</v>
      </c>
      <c r="U24" s="26">
        <f t="shared" si="10"/>
        <v>3442.48</v>
      </c>
    </row>
    <row r="25" spans="1:21" x14ac:dyDescent="0.3">
      <c r="A25" s="22" t="s">
        <v>25</v>
      </c>
      <c r="B25" s="55">
        <f>COUNTIFS(Dataset!$D$2:$D$201,$A25)</f>
        <v>49</v>
      </c>
      <c r="C25" s="26">
        <f>SUMIFS(Dataset!$E$2:$E$201,Dataset!$D$2:$D$201,$A25)</f>
        <v>47002.460000000006</v>
      </c>
      <c r="D25" s="26">
        <f>SUMIFS(Dataset!$I$2:$I$201,Dataset!$D$2:$D$201,$A25)</f>
        <v>16901.630000000005</v>
      </c>
      <c r="E25" s="19">
        <f t="shared" ref="E25:E30" si="11">D25/C25</f>
        <v>0.35959032782539474</v>
      </c>
      <c r="F25" s="19">
        <f>AVERAGEIFS(Dataset!$G$2:$G$201,Dataset!$D$2:$D$201,$A25)</f>
        <v>0.10408163265306124</v>
      </c>
      <c r="I25" s="53" t="s">
        <v>94</v>
      </c>
      <c r="J25" s="54" t="str">
        <f>INDEX(Dataset!$B$2:$B$201,MATCH(I25,Dataset!$A$2:$A$201,0))</f>
        <v>Sarah Anderson</v>
      </c>
      <c r="K25" s="55">
        <f>COUNTIFS(Dataset!$A$2:$A$201,I25)</f>
        <v>8</v>
      </c>
      <c r="L25" s="26">
        <f>SUMIFS(Dataset!$E$2:$E$201,Dataset!$A$2:$A$201,I25)</f>
        <v>8740.18</v>
      </c>
      <c r="M25" s="26">
        <f>SUMIFS(Dataset!$I$2:$I$201,Dataset!$A$2:$A$201,I25)</f>
        <v>2848.62</v>
      </c>
      <c r="N25" s="55">
        <f>RANK(L25,$L$5:$L$34)+COUNTIF($L$5:L25,L25)-1</f>
        <v>6</v>
      </c>
      <c r="O25" s="18" t="str">
        <f t="shared" si="0"/>
        <v>High Value</v>
      </c>
      <c r="Q25" s="58">
        <v>5</v>
      </c>
      <c r="R25" s="18" t="str">
        <f t="shared" si="7"/>
        <v>CUST026</v>
      </c>
      <c r="S25" s="54" t="str">
        <f t="shared" si="8"/>
        <v>Mary Davis</v>
      </c>
      <c r="T25" s="26">
        <f t="shared" si="9"/>
        <v>9371.81</v>
      </c>
      <c r="U25" s="26">
        <f t="shared" si="10"/>
        <v>2922.0199999999995</v>
      </c>
    </row>
    <row r="26" spans="1:21" x14ac:dyDescent="0.3">
      <c r="A26" s="22" t="s">
        <v>28</v>
      </c>
      <c r="B26" s="55">
        <f>COUNTIFS(Dataset!$D$2:$D$201,$A26)</f>
        <v>41</v>
      </c>
      <c r="C26" s="26">
        <f>SUMIFS(Dataset!$E$2:$E$201,Dataset!$D$2:$D$201,$A26)</f>
        <v>41927.589999999989</v>
      </c>
      <c r="D26" s="26">
        <f>SUMIFS(Dataset!$I$2:$I$201,Dataset!$D$2:$D$201,$A26)</f>
        <v>18784.490000000002</v>
      </c>
      <c r="E26" s="19">
        <f t="shared" si="11"/>
        <v>0.44802217346620699</v>
      </c>
      <c r="F26" s="19">
        <f>AVERAGEIFS(Dataset!$G$2:$G$201,Dataset!$D$2:$D$201,$A26)</f>
        <v>9.8780487804878039E-2</v>
      </c>
      <c r="I26" s="53" t="s">
        <v>86</v>
      </c>
      <c r="J26" s="54" t="str">
        <f>INDEX(Dataset!$B$2:$B$201,MATCH(I26,Dataset!$A$2:$A$201,0))</f>
        <v>Robert Anderson</v>
      </c>
      <c r="K26" s="55">
        <f>COUNTIFS(Dataset!$A$2:$A$201,I26)</f>
        <v>5</v>
      </c>
      <c r="L26" s="26">
        <f>SUMIFS(Dataset!$E$2:$E$201,Dataset!$A$2:$A$201,I26)</f>
        <v>4418.2800000000007</v>
      </c>
      <c r="M26" s="26">
        <f>SUMIFS(Dataset!$I$2:$I$201,Dataset!$A$2:$A$201,I26)</f>
        <v>1605.23</v>
      </c>
      <c r="N26" s="55">
        <f>RANK(L26,$L$5:$L$34)+COUNTIF($L$5:L26,L26)-1</f>
        <v>22</v>
      </c>
      <c r="O26" s="18" t="str">
        <f t="shared" si="0"/>
        <v>Standard</v>
      </c>
      <c r="Q26" s="58">
        <v>6</v>
      </c>
      <c r="R26" s="18" t="str">
        <f t="shared" si="7"/>
        <v>CUST021</v>
      </c>
      <c r="S26" s="54" t="str">
        <f t="shared" si="8"/>
        <v>Sarah Anderson</v>
      </c>
      <c r="T26" s="26">
        <f t="shared" si="9"/>
        <v>8740.18</v>
      </c>
      <c r="U26" s="26">
        <f t="shared" si="10"/>
        <v>2848.62</v>
      </c>
    </row>
    <row r="27" spans="1:21" x14ac:dyDescent="0.3">
      <c r="A27" s="22" t="s">
        <v>42</v>
      </c>
      <c r="B27" s="55">
        <f>COUNTIFS(Dataset!$D$2:$D$201,$A27)</f>
        <v>43</v>
      </c>
      <c r="C27" s="26">
        <f>SUMIFS(Dataset!$E$2:$E$201,Dataset!$D$2:$D$201,$A27)</f>
        <v>41044.000000000007</v>
      </c>
      <c r="D27" s="26">
        <f>SUMIFS(Dataset!$I$2:$I$201,Dataset!$D$2:$D$201,$A27)</f>
        <v>9182.1500000000015</v>
      </c>
      <c r="E27" s="19">
        <f t="shared" si="11"/>
        <v>0.2237147938797388</v>
      </c>
      <c r="F27" s="19">
        <f>AVERAGEIFS(Dataset!$G$2:$G$201,Dataset!$D$2:$D$201,$A27)</f>
        <v>0.10000000000000002</v>
      </c>
      <c r="I27" s="53" t="s">
        <v>72</v>
      </c>
      <c r="J27" s="54" t="str">
        <f>INDEX(Dataset!$B$2:$B$201,MATCH(I27,Dataset!$A$2:$A$201,0))</f>
        <v>Robert Anderson</v>
      </c>
      <c r="K27" s="55">
        <f>COUNTIFS(Dataset!$A$2:$A$201,I27)</f>
        <v>7</v>
      </c>
      <c r="L27" s="26">
        <f>SUMIFS(Dataset!$E$2:$E$201,Dataset!$A$2:$A$201,I27)</f>
        <v>5913.68</v>
      </c>
      <c r="M27" s="26">
        <f>SUMIFS(Dataset!$I$2:$I$201,Dataset!$A$2:$A$201,I27)</f>
        <v>2198.62</v>
      </c>
      <c r="N27" s="55">
        <f>RANK(L27,$L$5:$L$34)+COUNTIF($L$5:L27,L27)-1</f>
        <v>18</v>
      </c>
      <c r="O27" s="18" t="str">
        <f t="shared" si="0"/>
        <v>Standard</v>
      </c>
      <c r="Q27" s="58">
        <v>7</v>
      </c>
      <c r="R27" s="18" t="str">
        <f t="shared" si="7"/>
        <v>CUST003</v>
      </c>
      <c r="S27" s="54" t="str">
        <f t="shared" si="8"/>
        <v>Emma Davis</v>
      </c>
      <c r="T27" s="26">
        <f t="shared" si="9"/>
        <v>8490.18</v>
      </c>
      <c r="U27" s="26">
        <f t="shared" si="10"/>
        <v>2652.75</v>
      </c>
    </row>
    <row r="28" spans="1:21" x14ac:dyDescent="0.3">
      <c r="A28" s="22" t="s">
        <v>52</v>
      </c>
      <c r="B28" s="55">
        <f>COUNTIFS(Dataset!$D$2:$D$201,$A28)</f>
        <v>36</v>
      </c>
      <c r="C28" s="26">
        <f>SUMIFS(Dataset!$E$2:$E$201,Dataset!$D$2:$D$201,$A28)</f>
        <v>36612.89</v>
      </c>
      <c r="D28" s="26">
        <f>SUMIFS(Dataset!$I$2:$I$201,Dataset!$D$2:$D$201,$A28)</f>
        <v>11579.140000000003</v>
      </c>
      <c r="E28" s="19">
        <f t="shared" si="11"/>
        <v>0.31625856358238869</v>
      </c>
      <c r="F28" s="19">
        <f>AVERAGEIFS(Dataset!$G$2:$G$201,Dataset!$D$2:$D$201,$A28)</f>
        <v>9.7222222222222224E-2</v>
      </c>
      <c r="I28" s="53" t="s">
        <v>143</v>
      </c>
      <c r="J28" s="54" t="str">
        <f>INDEX(Dataset!$B$2:$B$201,MATCH(I28,Dataset!$A$2:$A$201,0))</f>
        <v>David Brown</v>
      </c>
      <c r="K28" s="55">
        <f>COUNTIFS(Dataset!$A$2:$A$201,I28)</f>
        <v>7</v>
      </c>
      <c r="L28" s="26">
        <f>SUMIFS(Dataset!$E$2:$E$201,Dataset!$A$2:$A$201,I28)</f>
        <v>7583.1299999999992</v>
      </c>
      <c r="M28" s="26">
        <f>SUMIFS(Dataset!$I$2:$I$201,Dataset!$A$2:$A$201,I28)</f>
        <v>2492.1</v>
      </c>
      <c r="N28" s="55">
        <f>RANK(L28,$L$5:$L$34)+COUNTIF($L$5:L28,L28)-1</f>
        <v>11</v>
      </c>
      <c r="O28" s="18" t="str">
        <f t="shared" si="0"/>
        <v>Standard</v>
      </c>
      <c r="Q28" s="58">
        <v>8</v>
      </c>
      <c r="R28" s="18" t="str">
        <f t="shared" si="7"/>
        <v>CUST012</v>
      </c>
      <c r="S28" s="54" t="str">
        <f t="shared" si="8"/>
        <v>Robert Anderson</v>
      </c>
      <c r="T28" s="26">
        <f t="shared" si="9"/>
        <v>8339</v>
      </c>
      <c r="U28" s="26">
        <f t="shared" si="10"/>
        <v>2988.7100000000005</v>
      </c>
    </row>
    <row r="29" spans="1:21" x14ac:dyDescent="0.3">
      <c r="A29" s="22" t="s">
        <v>69</v>
      </c>
      <c r="B29" s="55">
        <f>COUNTIFS(Dataset!$D$2:$D$201,$A29)</f>
        <v>31</v>
      </c>
      <c r="C29" s="26">
        <f>SUMIFS(Dataset!$E$2:$E$201,Dataset!$D$2:$D$201,$A29)</f>
        <v>28630.819999999992</v>
      </c>
      <c r="D29" s="26">
        <f>SUMIFS(Dataset!$I$2:$I$201,Dataset!$D$2:$D$201,$A29)</f>
        <v>11839.599999999999</v>
      </c>
      <c r="E29" s="19">
        <f t="shared" si="11"/>
        <v>0.41352640266677665</v>
      </c>
      <c r="F29" s="19">
        <f>AVERAGEIFS(Dataset!$G$2:$G$201,Dataset!$D$2:$D$201,$A29)</f>
        <v>8.0645161290322592E-2</v>
      </c>
      <c r="I29" s="53" t="s">
        <v>91</v>
      </c>
      <c r="J29" s="54" t="str">
        <f>INDEX(Dataset!$B$2:$B$201,MATCH(I29,Dataset!$A$2:$A$201,0))</f>
        <v>David Brown</v>
      </c>
      <c r="K29" s="55">
        <f>COUNTIFS(Dataset!$A$2:$A$201,I29)</f>
        <v>6</v>
      </c>
      <c r="L29" s="26">
        <f>SUMIFS(Dataset!$E$2:$E$201,Dataset!$A$2:$A$201,I29)</f>
        <v>6716.52</v>
      </c>
      <c r="M29" s="26">
        <f>SUMIFS(Dataset!$I$2:$I$201,Dataset!$A$2:$A$201,I29)</f>
        <v>2327.84</v>
      </c>
      <c r="N29" s="55">
        <f>RANK(L29,$L$5:$L$34)+COUNTIF($L$5:L29,L29)-1</f>
        <v>13</v>
      </c>
      <c r="O29" s="18" t="str">
        <f t="shared" si="0"/>
        <v>Standard</v>
      </c>
      <c r="Q29" s="58">
        <v>9</v>
      </c>
      <c r="R29" s="18" t="str">
        <f t="shared" si="7"/>
        <v>CUST030</v>
      </c>
      <c r="S29" s="54" t="str">
        <f t="shared" si="8"/>
        <v>James Wilson</v>
      </c>
      <c r="T29" s="26">
        <f t="shared" si="9"/>
        <v>7928.71</v>
      </c>
      <c r="U29" s="26">
        <f t="shared" si="10"/>
        <v>2965.4799999999996</v>
      </c>
    </row>
    <row r="30" spans="1:21" x14ac:dyDescent="0.3">
      <c r="A30" s="29" t="s">
        <v>142</v>
      </c>
      <c r="B30" s="57">
        <f>SUM(B25:B29)</f>
        <v>200</v>
      </c>
      <c r="C30" s="30">
        <f>SUM(C25:C29)</f>
        <v>195217.76</v>
      </c>
      <c r="D30" s="30">
        <f>SUM(D25:D29)</f>
        <v>68287.010000000009</v>
      </c>
      <c r="E30" s="38">
        <f t="shared" si="11"/>
        <v>0.34979916786259613</v>
      </c>
      <c r="F30" s="38">
        <f>AVERAGE(Dataset!$G$2:$G$201)</f>
        <v>9.7250000000000003E-2</v>
      </c>
      <c r="I30" s="53" t="s">
        <v>58</v>
      </c>
      <c r="J30" s="54" t="str">
        <f>INDEX(Dataset!$B$2:$B$201,MATCH(I30,Dataset!$A$2:$A$201,0))</f>
        <v>Mary Davis</v>
      </c>
      <c r="K30" s="55">
        <f>COUNTIFS(Dataset!$A$2:$A$201,I30)</f>
        <v>9</v>
      </c>
      <c r="L30" s="26">
        <f>SUMIFS(Dataset!$E$2:$E$201,Dataset!$A$2:$A$201,I30)</f>
        <v>9371.81</v>
      </c>
      <c r="M30" s="26">
        <f>SUMIFS(Dataset!$I$2:$I$201,Dataset!$A$2:$A$201,I30)</f>
        <v>2922.0199999999995</v>
      </c>
      <c r="N30" s="55">
        <f>RANK(L30,$L$5:$L$34)+COUNTIF($L$5:L30,L30)-1</f>
        <v>5</v>
      </c>
      <c r="O30" s="18" t="str">
        <f t="shared" si="0"/>
        <v>High Value</v>
      </c>
      <c r="Q30" s="58">
        <v>10</v>
      </c>
      <c r="R30" s="18" t="str">
        <f t="shared" si="7"/>
        <v>CUST004</v>
      </c>
      <c r="S30" s="54" t="str">
        <f t="shared" si="8"/>
        <v>Lisa Thomas</v>
      </c>
      <c r="T30" s="26">
        <f t="shared" si="9"/>
        <v>7813.59</v>
      </c>
      <c r="U30" s="26">
        <f t="shared" si="10"/>
        <v>3211.82</v>
      </c>
    </row>
    <row r="31" spans="1:21" x14ac:dyDescent="0.3">
      <c r="I31" s="53" t="s">
        <v>162</v>
      </c>
      <c r="J31" s="54" t="str">
        <f>INDEX(Dataset!$B$2:$B$201,MATCH(I31,Dataset!$A$2:$A$201,0))</f>
        <v>Emma Davis</v>
      </c>
      <c r="K31" s="55">
        <f>COUNTIFS(Dataset!$A$2:$A$201,I31)</f>
        <v>5</v>
      </c>
      <c r="L31" s="26">
        <f>SUMIFS(Dataset!$E$2:$E$201,Dataset!$A$2:$A$201,I31)</f>
        <v>3906.04</v>
      </c>
      <c r="M31" s="26">
        <f>SUMIFS(Dataset!$I$2:$I$201,Dataset!$A$2:$A$201,I31)</f>
        <v>1240.6500000000001</v>
      </c>
      <c r="N31" s="55">
        <f>RANK(L31,$L$5:$L$34)+COUNTIF($L$5:L31,L31)-1</f>
        <v>26</v>
      </c>
      <c r="O31" s="18" t="str">
        <f t="shared" si="0"/>
        <v>Standard</v>
      </c>
    </row>
    <row r="32" spans="1:21" x14ac:dyDescent="0.3">
      <c r="I32" s="53" t="s">
        <v>89</v>
      </c>
      <c r="J32" s="54" t="str">
        <f>INDEX(Dataset!$B$2:$B$201,MATCH(I32,Dataset!$A$2:$A$201,0))</f>
        <v>Linda Taylor</v>
      </c>
      <c r="K32" s="55">
        <f>COUNTIFS(Dataset!$A$2:$A$201,I32)</f>
        <v>12</v>
      </c>
      <c r="L32" s="26">
        <f>SUMIFS(Dataset!$E$2:$E$201,Dataset!$A$2:$A$201,I32)</f>
        <v>10293.870000000001</v>
      </c>
      <c r="M32" s="26">
        <f>SUMIFS(Dataset!$I$2:$I$201,Dataset!$A$2:$A$201,I32)</f>
        <v>3541.02</v>
      </c>
      <c r="N32" s="55">
        <f>RANK(L32,$L$5:$L$34)+COUNTIF($L$5:L32,L32)-1</f>
        <v>2</v>
      </c>
      <c r="O32" s="18" t="str">
        <f t="shared" si="0"/>
        <v>High Value</v>
      </c>
    </row>
    <row r="33" spans="1:15" x14ac:dyDescent="0.3">
      <c r="A33" s="7" t="s">
        <v>182</v>
      </c>
      <c r="B33" s="35"/>
      <c r="C33" s="35"/>
      <c r="D33" s="35"/>
      <c r="E33" s="35"/>
      <c r="F33" s="10"/>
      <c r="I33" s="53" t="s">
        <v>78</v>
      </c>
      <c r="J33" s="54" t="str">
        <f>INDEX(Dataset!$B$2:$B$201,MATCH(I33,Dataset!$A$2:$A$201,0))</f>
        <v>David Smith</v>
      </c>
      <c r="K33" s="55">
        <f>COUNTIFS(Dataset!$A$2:$A$201,I33)</f>
        <v>7</v>
      </c>
      <c r="L33" s="26">
        <f>SUMIFS(Dataset!$E$2:$E$201,Dataset!$A$2:$A$201,I33)</f>
        <v>5779.05</v>
      </c>
      <c r="M33" s="26">
        <f>SUMIFS(Dataset!$I$2:$I$201,Dataset!$A$2:$A$201,I33)</f>
        <v>1611.6599999999999</v>
      </c>
      <c r="N33" s="55">
        <f>RANK(L33,$L$5:$L$34)+COUNTIF($L$5:L33,L33)-1</f>
        <v>19</v>
      </c>
      <c r="O33" s="18" t="str">
        <f t="shared" si="0"/>
        <v>Standard</v>
      </c>
    </row>
    <row r="34" spans="1:15" ht="26.4" x14ac:dyDescent="0.3">
      <c r="A34" s="6" t="s">
        <v>183</v>
      </c>
      <c r="B34" s="6" t="s">
        <v>6</v>
      </c>
      <c r="C34" s="6" t="s">
        <v>10</v>
      </c>
      <c r="D34" s="6" t="s">
        <v>172</v>
      </c>
      <c r="E34" s="6" t="s">
        <v>184</v>
      </c>
      <c r="F34" s="6" t="s">
        <v>185</v>
      </c>
      <c r="I34" s="53" t="s">
        <v>45</v>
      </c>
      <c r="J34" s="54" t="str">
        <f>INDEX(Dataset!$B$2:$B$201,MATCH(I34,Dataset!$A$2:$A$201,0))</f>
        <v>James Wilson</v>
      </c>
      <c r="K34" s="55">
        <f>COUNTIFS(Dataset!$A$2:$A$201,I34)</f>
        <v>9</v>
      </c>
      <c r="L34" s="26">
        <f>SUMIFS(Dataset!$E$2:$E$201,Dataset!$A$2:$A$201,I34)</f>
        <v>7928.71</v>
      </c>
      <c r="M34" s="26">
        <f>SUMIFS(Dataset!$I$2:$I$201,Dataset!$A$2:$A$201,I34)</f>
        <v>2965.4799999999996</v>
      </c>
      <c r="N34" s="55">
        <f>RANK(L34,$L$5:$L$34)+COUNTIF($L$5:L34,L34)-1</f>
        <v>9</v>
      </c>
      <c r="O34" s="18" t="str">
        <f t="shared" si="0"/>
        <v>Standard</v>
      </c>
    </row>
    <row r="35" spans="1:15" x14ac:dyDescent="0.3">
      <c r="A35" s="59">
        <f>DATE(YEAR(MIN(Dataset!$H$2:$H$201)),MONTH(MIN(Dataset!$H$2:$H$201)),1)</f>
        <v>45383</v>
      </c>
      <c r="B35" s="26">
        <f>SUMIFS(Dataset!$E$2:$E$201,Dataset!$P$2:$P$201,A35)</f>
        <v>19029.96</v>
      </c>
      <c r="C35" s="26">
        <f>SUMIFS(Dataset!$I$2:$I$201,Dataset!$P$2:$P$201,A35)</f>
        <v>6244.01</v>
      </c>
      <c r="D35" s="55">
        <f>COUNTIFS(Dataset!$P$2:$P$201,A35)</f>
        <v>19</v>
      </c>
      <c r="E35" s="60" t="str">
        <f>""</f>
        <v/>
      </c>
      <c r="F35" s="61" t="str">
        <f>""</f>
        <v/>
      </c>
      <c r="I35" s="29" t="s">
        <v>142</v>
      </c>
      <c r="J35" s="12"/>
      <c r="K35" s="57">
        <f>SUM(K5:K34)</f>
        <v>200</v>
      </c>
      <c r="L35" s="30">
        <f>SUM(L5:L34)</f>
        <v>195217.75999999995</v>
      </c>
      <c r="M35" s="30">
        <f>SUM(M5:M34)</f>
        <v>68287.009999999995</v>
      </c>
    </row>
    <row r="36" spans="1:15" x14ac:dyDescent="0.3">
      <c r="A36" s="59">
        <f t="shared" ref="A36:A47" si="12">EDATE(A35,1)</f>
        <v>45413</v>
      </c>
      <c r="B36" s="26">
        <f>SUMIFS(Dataset!$E$2:$E$201,Dataset!$P$2:$P$201,A36)</f>
        <v>18507.339999999997</v>
      </c>
      <c r="C36" s="26">
        <f>SUMIFS(Dataset!$I$2:$I$201,Dataset!$P$2:$P$201,A36)</f>
        <v>6121.3499999999995</v>
      </c>
      <c r="D36" s="55">
        <f>COUNTIFS(Dataset!$P$2:$P$201,A36)</f>
        <v>21</v>
      </c>
      <c r="E36" s="60">
        <f t="shared" ref="E36:E47" si="13">B36-B35</f>
        <v>-522.62000000000262</v>
      </c>
      <c r="F36" s="61">
        <f t="shared" ref="F36:F47" si="14">(B36-B35)/B35</f>
        <v>-2.7463010957458799E-2</v>
      </c>
    </row>
    <row r="37" spans="1:15" x14ac:dyDescent="0.3">
      <c r="A37" s="59">
        <f t="shared" si="12"/>
        <v>45444</v>
      </c>
      <c r="B37" s="26">
        <f>SUMIFS(Dataset!$E$2:$E$201,Dataset!$P$2:$P$201,A37)</f>
        <v>20187.509999999998</v>
      </c>
      <c r="C37" s="26">
        <f>SUMIFS(Dataset!$I$2:$I$201,Dataset!$P$2:$P$201,A37)</f>
        <v>6918</v>
      </c>
      <c r="D37" s="55">
        <f>COUNTIFS(Dataset!$P$2:$P$201,A37)</f>
        <v>20</v>
      </c>
      <c r="E37" s="60">
        <f t="shared" si="13"/>
        <v>1680.1700000000019</v>
      </c>
      <c r="F37" s="61">
        <f t="shared" si="14"/>
        <v>9.0783980842195702E-2</v>
      </c>
    </row>
    <row r="38" spans="1:15" x14ac:dyDescent="0.3">
      <c r="A38" s="59">
        <f t="shared" si="12"/>
        <v>45474</v>
      </c>
      <c r="B38" s="26">
        <f>SUMIFS(Dataset!$E$2:$E$201,Dataset!$P$2:$P$201,A38)</f>
        <v>11609.039999999999</v>
      </c>
      <c r="C38" s="26">
        <f>SUMIFS(Dataset!$I$2:$I$201,Dataset!$P$2:$P$201,A38)</f>
        <v>3743.85</v>
      </c>
      <c r="D38" s="55">
        <f>COUNTIFS(Dataset!$P$2:$P$201,A38)</f>
        <v>12</v>
      </c>
      <c r="E38" s="60">
        <f t="shared" si="13"/>
        <v>-8578.4699999999993</v>
      </c>
      <c r="F38" s="61">
        <f t="shared" si="14"/>
        <v>-0.42493947990614001</v>
      </c>
    </row>
    <row r="39" spans="1:15" x14ac:dyDescent="0.3">
      <c r="A39" s="59">
        <f t="shared" si="12"/>
        <v>45505</v>
      </c>
      <c r="B39" s="26">
        <f>SUMIFS(Dataset!$E$2:$E$201,Dataset!$P$2:$P$201,A39)</f>
        <v>10091.699999999999</v>
      </c>
      <c r="C39" s="26">
        <f>SUMIFS(Dataset!$I$2:$I$201,Dataset!$P$2:$P$201,A39)</f>
        <v>3302.84</v>
      </c>
      <c r="D39" s="55">
        <f>COUNTIFS(Dataset!$P$2:$P$201,A39)</f>
        <v>10</v>
      </c>
      <c r="E39" s="60">
        <f t="shared" si="13"/>
        <v>-1517.3400000000001</v>
      </c>
      <c r="F39" s="61">
        <f t="shared" si="14"/>
        <v>-0.13070331396911375</v>
      </c>
    </row>
    <row r="40" spans="1:15" x14ac:dyDescent="0.3">
      <c r="A40" s="59">
        <f t="shared" si="12"/>
        <v>45536</v>
      </c>
      <c r="B40" s="26">
        <f>SUMIFS(Dataset!$E$2:$E$201,Dataset!$P$2:$P$201,A40)</f>
        <v>20533.499999999996</v>
      </c>
      <c r="C40" s="26">
        <f>SUMIFS(Dataset!$I$2:$I$201,Dataset!$P$2:$P$201,A40)</f>
        <v>7457.5199999999995</v>
      </c>
      <c r="D40" s="55">
        <f>COUNTIFS(Dataset!$P$2:$P$201,A40)</f>
        <v>20</v>
      </c>
      <c r="E40" s="60">
        <f t="shared" si="13"/>
        <v>10441.799999999997</v>
      </c>
      <c r="F40" s="61">
        <f t="shared" si="14"/>
        <v>1.0346918755016496</v>
      </c>
    </row>
    <row r="41" spans="1:15" x14ac:dyDescent="0.3">
      <c r="A41" s="59">
        <f t="shared" si="12"/>
        <v>45566</v>
      </c>
      <c r="B41" s="26">
        <f>SUMIFS(Dataset!$E$2:$E$201,Dataset!$P$2:$P$201,A41)</f>
        <v>14215.240000000002</v>
      </c>
      <c r="C41" s="26">
        <f>SUMIFS(Dataset!$I$2:$I$201,Dataset!$P$2:$P$201,A41)</f>
        <v>4861.7</v>
      </c>
      <c r="D41" s="55">
        <f>COUNTIFS(Dataset!$P$2:$P$201,A41)</f>
        <v>14</v>
      </c>
      <c r="E41" s="60">
        <f t="shared" si="13"/>
        <v>-6318.2599999999948</v>
      </c>
      <c r="F41" s="61">
        <f t="shared" si="14"/>
        <v>-0.30770496992719193</v>
      </c>
    </row>
    <row r="42" spans="1:15" x14ac:dyDescent="0.3">
      <c r="A42" s="59">
        <f t="shared" si="12"/>
        <v>45597</v>
      </c>
      <c r="B42" s="26">
        <f>SUMIFS(Dataset!$E$2:$E$201,Dataset!$P$2:$P$201,A42)</f>
        <v>20135.030000000002</v>
      </c>
      <c r="C42" s="26">
        <f>SUMIFS(Dataset!$I$2:$I$201,Dataset!$P$2:$P$201,A42)</f>
        <v>6814.8799999999992</v>
      </c>
      <c r="D42" s="55">
        <f>COUNTIFS(Dataset!$P$2:$P$201,A42)</f>
        <v>20</v>
      </c>
      <c r="E42" s="60">
        <f t="shared" si="13"/>
        <v>5919.7900000000009</v>
      </c>
      <c r="F42" s="61">
        <f t="shared" si="14"/>
        <v>0.4164396802305132</v>
      </c>
    </row>
    <row r="43" spans="1:15" x14ac:dyDescent="0.3">
      <c r="A43" s="59">
        <f t="shared" si="12"/>
        <v>45627</v>
      </c>
      <c r="B43" s="26">
        <f>SUMIFS(Dataset!$E$2:$E$201,Dataset!$P$2:$P$201,A43)</f>
        <v>11120.04</v>
      </c>
      <c r="C43" s="26">
        <f>SUMIFS(Dataset!$I$2:$I$201,Dataset!$P$2:$P$201,A43)</f>
        <v>3549.99</v>
      </c>
      <c r="D43" s="55">
        <f>COUNTIFS(Dataset!$P$2:$P$201,A43)</f>
        <v>11</v>
      </c>
      <c r="E43" s="60">
        <f t="shared" si="13"/>
        <v>-9014.9900000000016</v>
      </c>
      <c r="F43" s="61">
        <f t="shared" si="14"/>
        <v>-0.44772667336477773</v>
      </c>
    </row>
    <row r="44" spans="1:15" x14ac:dyDescent="0.3">
      <c r="A44" s="59">
        <f t="shared" si="12"/>
        <v>45658</v>
      </c>
      <c r="B44" s="26">
        <f>SUMIFS(Dataset!$E$2:$E$201,Dataset!$P$2:$P$201,A44)</f>
        <v>14914.650000000001</v>
      </c>
      <c r="C44" s="26">
        <f>SUMIFS(Dataset!$I$2:$I$201,Dataset!$P$2:$P$201,A44)</f>
        <v>5763.4</v>
      </c>
      <c r="D44" s="55">
        <f>COUNTIFS(Dataset!$P$2:$P$201,A44)</f>
        <v>16</v>
      </c>
      <c r="E44" s="60">
        <f t="shared" si="13"/>
        <v>3794.6100000000006</v>
      </c>
      <c r="F44" s="61">
        <f t="shared" si="14"/>
        <v>0.34124067899036337</v>
      </c>
    </row>
    <row r="45" spans="1:15" x14ac:dyDescent="0.3">
      <c r="A45" s="59">
        <f t="shared" si="12"/>
        <v>45689</v>
      </c>
      <c r="B45" s="26">
        <f>SUMIFS(Dataset!$E$2:$E$201,Dataset!$P$2:$P$201,A45)</f>
        <v>14006.359999999999</v>
      </c>
      <c r="C45" s="26">
        <f>SUMIFS(Dataset!$I$2:$I$201,Dataset!$P$2:$P$201,A45)</f>
        <v>5039.2299999999996</v>
      </c>
      <c r="D45" s="55">
        <f>COUNTIFS(Dataset!$P$2:$P$201,A45)</f>
        <v>14</v>
      </c>
      <c r="E45" s="60">
        <f t="shared" si="13"/>
        <v>-908.29000000000269</v>
      </c>
      <c r="F45" s="61">
        <f t="shared" si="14"/>
        <v>-6.0899183018039482E-2</v>
      </c>
    </row>
    <row r="46" spans="1:15" x14ac:dyDescent="0.3">
      <c r="A46" s="59">
        <f t="shared" si="12"/>
        <v>45717</v>
      </c>
      <c r="B46" s="26">
        <f>SUMIFS(Dataset!$E$2:$E$201,Dataset!$P$2:$P$201,A46)</f>
        <v>17655.219999999998</v>
      </c>
      <c r="C46" s="26">
        <f>SUMIFS(Dataset!$I$2:$I$201,Dataset!$P$2:$P$201,A46)</f>
        <v>7071.39</v>
      </c>
      <c r="D46" s="55">
        <f>COUNTIFS(Dataset!$P$2:$P$201,A46)</f>
        <v>19</v>
      </c>
      <c r="E46" s="60">
        <f t="shared" si="13"/>
        <v>3648.8599999999988</v>
      </c>
      <c r="F46" s="61">
        <f t="shared" si="14"/>
        <v>0.26051450912299834</v>
      </c>
    </row>
    <row r="47" spans="1:15" x14ac:dyDescent="0.3">
      <c r="A47" s="59">
        <f t="shared" si="12"/>
        <v>45748</v>
      </c>
      <c r="B47" s="26">
        <f>SUMIFS(Dataset!$E$2:$E$201,Dataset!$P$2:$P$201,A47)</f>
        <v>3212.17</v>
      </c>
      <c r="C47" s="26">
        <f>SUMIFS(Dataset!$I$2:$I$201,Dataset!$P$2:$P$201,A47)</f>
        <v>1398.85</v>
      </c>
      <c r="D47" s="55">
        <f>COUNTIFS(Dataset!$P$2:$P$201,A47)</f>
        <v>4</v>
      </c>
      <c r="E47" s="60">
        <f t="shared" si="13"/>
        <v>-14443.049999999997</v>
      </c>
      <c r="F47" s="61">
        <f t="shared" si="14"/>
        <v>-0.81806117397574196</v>
      </c>
    </row>
    <row r="48" spans="1:15" x14ac:dyDescent="0.3">
      <c r="A48" s="29" t="s">
        <v>142</v>
      </c>
      <c r="B48" s="30">
        <f>SUM(B35:B47)</f>
        <v>195217.76</v>
      </c>
      <c r="C48" s="30">
        <f>SUM(C35:C47)</f>
        <v>68287.009999999995</v>
      </c>
      <c r="D48" s="57">
        <f>SUM(D35:D47)</f>
        <v>200</v>
      </c>
      <c r="E48" s="12"/>
      <c r="F48" s="12"/>
    </row>
    <row r="51" spans="1:7" x14ac:dyDescent="0.3">
      <c r="A51" s="7" t="s">
        <v>186</v>
      </c>
      <c r="B51" s="35"/>
      <c r="C51" s="35"/>
      <c r="D51" s="35"/>
      <c r="E51" s="35"/>
      <c r="F51" s="35"/>
      <c r="G51" s="10"/>
    </row>
    <row r="53" spans="1:7" x14ac:dyDescent="0.3">
      <c r="A53" s="43" t="s">
        <v>187</v>
      </c>
    </row>
    <row r="55" spans="1:7" x14ac:dyDescent="0.3">
      <c r="A55" s="75" t="s">
        <v>188</v>
      </c>
      <c r="B55" s="75" t="s">
        <v>189</v>
      </c>
    </row>
    <row r="56" spans="1:7" x14ac:dyDescent="0.3">
      <c r="A56" s="75" t="s">
        <v>190</v>
      </c>
      <c r="B56" t="s">
        <v>25</v>
      </c>
      <c r="C56" t="s">
        <v>28</v>
      </c>
      <c r="D56" t="s">
        <v>42</v>
      </c>
      <c r="E56" t="s">
        <v>52</v>
      </c>
      <c r="F56" t="s">
        <v>69</v>
      </c>
      <c r="G56" t="s">
        <v>169</v>
      </c>
    </row>
    <row r="57" spans="1:7" x14ac:dyDescent="0.3">
      <c r="A57" s="76" t="s">
        <v>63</v>
      </c>
      <c r="B57" s="77">
        <v>11297.150000000001</v>
      </c>
      <c r="C57" s="77">
        <v>12200.26</v>
      </c>
      <c r="D57" s="77">
        <v>6621.24</v>
      </c>
      <c r="E57" s="77">
        <v>4876.96</v>
      </c>
      <c r="F57" s="77">
        <v>8472.7199999999993</v>
      </c>
      <c r="G57" s="77">
        <v>43468.33</v>
      </c>
    </row>
    <row r="58" spans="1:7" x14ac:dyDescent="0.3">
      <c r="A58" s="76" t="s">
        <v>33</v>
      </c>
      <c r="B58" s="77">
        <v>11389.090000000002</v>
      </c>
      <c r="C58" s="77">
        <v>2401.4499999999998</v>
      </c>
      <c r="D58" s="77">
        <v>2869.54</v>
      </c>
      <c r="E58" s="77">
        <v>7592.3399999999992</v>
      </c>
      <c r="F58" s="77">
        <v>8189.2200000000012</v>
      </c>
      <c r="G58" s="77">
        <v>32441.640000000003</v>
      </c>
    </row>
    <row r="59" spans="1:7" x14ac:dyDescent="0.3">
      <c r="A59" s="76" t="s">
        <v>47</v>
      </c>
      <c r="B59" s="77">
        <v>8037.0100000000011</v>
      </c>
      <c r="C59" s="77">
        <v>8422.82</v>
      </c>
      <c r="D59" s="77">
        <v>8191.7099999999991</v>
      </c>
      <c r="E59" s="77">
        <v>6978.08</v>
      </c>
      <c r="F59" s="77">
        <v>3345.8</v>
      </c>
      <c r="G59" s="77">
        <v>34975.420000000006</v>
      </c>
    </row>
    <row r="60" spans="1:7" x14ac:dyDescent="0.3">
      <c r="A60" s="76" t="s">
        <v>41</v>
      </c>
      <c r="B60" s="77">
        <v>9588.0400000000009</v>
      </c>
      <c r="C60" s="77">
        <v>8393.630000000001</v>
      </c>
      <c r="D60" s="77">
        <v>11989.070000000003</v>
      </c>
      <c r="E60" s="77">
        <v>7982.73</v>
      </c>
      <c r="F60" s="77">
        <v>2295.3199999999997</v>
      </c>
      <c r="G60" s="77">
        <v>40248.79</v>
      </c>
    </row>
    <row r="61" spans="1:7" x14ac:dyDescent="0.3">
      <c r="A61" s="76" t="s">
        <v>24</v>
      </c>
      <c r="B61" s="77">
        <v>6691.17</v>
      </c>
      <c r="C61" s="77">
        <v>10509.429999999998</v>
      </c>
      <c r="D61" s="77">
        <v>11372.44</v>
      </c>
      <c r="E61" s="77">
        <v>9182.7800000000007</v>
      </c>
      <c r="F61" s="77">
        <v>6327.76</v>
      </c>
      <c r="G61" s="77">
        <v>44083.58</v>
      </c>
    </row>
    <row r="62" spans="1:7" x14ac:dyDescent="0.3">
      <c r="A62" s="76" t="s">
        <v>169</v>
      </c>
      <c r="B62" s="77">
        <v>47002.460000000006</v>
      </c>
      <c r="C62" s="77">
        <v>41927.589999999997</v>
      </c>
      <c r="D62" s="77">
        <v>41044</v>
      </c>
      <c r="E62" s="77">
        <v>36612.89</v>
      </c>
      <c r="F62" s="77">
        <v>28630.82</v>
      </c>
      <c r="G62" s="77">
        <v>195217.76</v>
      </c>
    </row>
    <row r="64" spans="1:7" x14ac:dyDescent="0.3">
      <c r="A64" s="43" t="s">
        <v>191</v>
      </c>
    </row>
    <row r="66" spans="1:3" x14ac:dyDescent="0.3">
      <c r="B66" s="75" t="s">
        <v>206</v>
      </c>
    </row>
    <row r="67" spans="1:3" x14ac:dyDescent="0.3">
      <c r="A67" s="75" t="s">
        <v>190</v>
      </c>
      <c r="B67" t="s">
        <v>188</v>
      </c>
      <c r="C67" t="s">
        <v>192</v>
      </c>
    </row>
    <row r="68" spans="1:3" x14ac:dyDescent="0.3">
      <c r="A68" s="76" t="s">
        <v>25</v>
      </c>
      <c r="B68" s="77">
        <v>47002.460000000006</v>
      </c>
      <c r="C68" s="77">
        <v>16901.630000000005</v>
      </c>
    </row>
    <row r="69" spans="1:3" x14ac:dyDescent="0.3">
      <c r="A69" s="76" t="s">
        <v>28</v>
      </c>
      <c r="B69" s="77">
        <v>41927.589999999989</v>
      </c>
      <c r="C69" s="77">
        <v>18784.490000000002</v>
      </c>
    </row>
    <row r="70" spans="1:3" x14ac:dyDescent="0.3">
      <c r="A70" s="76" t="s">
        <v>42</v>
      </c>
      <c r="B70" s="77">
        <v>41044.000000000007</v>
      </c>
      <c r="C70" s="77">
        <v>9182.1500000000015</v>
      </c>
    </row>
    <row r="71" spans="1:3" x14ac:dyDescent="0.3">
      <c r="A71" s="76" t="s">
        <v>52</v>
      </c>
      <c r="B71" s="77">
        <v>36612.89</v>
      </c>
      <c r="C71" s="77">
        <v>11579.140000000003</v>
      </c>
    </row>
    <row r="72" spans="1:3" x14ac:dyDescent="0.3">
      <c r="A72" s="76" t="s">
        <v>69</v>
      </c>
      <c r="B72" s="77">
        <v>28630.819999999992</v>
      </c>
      <c r="C72" s="77">
        <v>11839.599999999999</v>
      </c>
    </row>
    <row r="73" spans="1:3" x14ac:dyDescent="0.3">
      <c r="A73" s="76" t="s">
        <v>169</v>
      </c>
      <c r="B73" s="77">
        <v>195217.76</v>
      </c>
      <c r="C73" s="77">
        <v>68287.010000000009</v>
      </c>
    </row>
  </sheetData>
  <autoFilter ref="I4:O34" xr:uid="{00000000-0009-0000-0000-000002000000}"/>
  <conditionalFormatting sqref="B5:F9">
    <cfRule type="colorScale" priority="1">
      <colorScale>
        <cfvo type="min"/>
        <cfvo type="max"/>
        <color rgb="FFFFFFFF"/>
        <color rgb="FF5B9BD5"/>
      </colorScale>
    </cfRule>
  </conditionalFormatting>
  <conditionalFormatting sqref="C15:C19">
    <cfRule type="dataBar" priority="2">
      <dataBar>
        <cfvo type="num" val="0"/>
        <cfvo type="max"/>
        <color rgb="FF5B9BD5"/>
      </dataBar>
    </cfRule>
  </conditionalFormatting>
  <conditionalFormatting sqref="C25:C29">
    <cfRule type="dataBar" priority="3">
      <dataBar>
        <cfvo type="num" val="0"/>
        <cfvo type="max"/>
        <color rgb="FF5B9BD5"/>
      </dataBar>
    </cfRule>
  </conditionalFormatting>
  <conditionalFormatting sqref="E35:F47">
    <cfRule type="cellIs" dxfId="5" priority="4" operator="greaterThan">
      <formula>0</formula>
    </cfRule>
    <cfRule type="cellIs" dxfId="4" priority="5" operator="lessThan">
      <formula>0</formula>
    </cfRule>
  </conditionalFormatting>
  <conditionalFormatting sqref="I5:O34">
    <cfRule type="expression" dxfId="3" priority="6">
      <formula>$N5&lt;=10</formula>
    </cfRule>
  </conditionalFormatting>
  <conditionalFormatting sqref="O5:O34">
    <cfRule type="cellIs" dxfId="2" priority="7" operator="equal">
      <formula>"High Value"</formula>
    </cfRule>
  </conditionalFormatting>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5597"/>
    <pageSetUpPr fitToPage="1"/>
  </sheetPr>
  <dimension ref="A1:U73"/>
  <sheetViews>
    <sheetView showGridLines="0" zoomScale="55" zoomScaleNormal="61" workbookViewId="0">
      <selection activeCell="X22" sqref="X22"/>
    </sheetView>
  </sheetViews>
  <sheetFormatPr defaultRowHeight="14.4" x14ac:dyDescent="0.3"/>
  <cols>
    <col min="1" max="1" width="2" customWidth="1"/>
    <col min="2" max="10" width="9.33203125" customWidth="1"/>
    <col min="11" max="11" width="2" customWidth="1"/>
    <col min="12" max="20" width="9.33203125" customWidth="1"/>
  </cols>
  <sheetData>
    <row r="1" spans="1:21" ht="22.05" customHeight="1" x14ac:dyDescent="0.3">
      <c r="A1" s="78"/>
      <c r="B1" s="79"/>
      <c r="C1" s="79"/>
      <c r="D1" s="79"/>
      <c r="E1" s="79"/>
      <c r="F1" s="79"/>
      <c r="G1" s="79"/>
      <c r="H1" s="79"/>
      <c r="I1" s="79"/>
      <c r="J1" s="79"/>
      <c r="K1" s="79"/>
      <c r="L1" s="79"/>
      <c r="M1" s="79"/>
      <c r="N1" s="79"/>
      <c r="O1" s="79"/>
      <c r="P1" s="79"/>
      <c r="Q1" s="79"/>
      <c r="R1" s="79"/>
      <c r="S1" s="79"/>
      <c r="T1" s="79"/>
      <c r="U1" s="80"/>
    </row>
    <row r="2" spans="1:21" ht="34.049999999999997" customHeight="1" x14ac:dyDescent="0.3">
      <c r="A2" s="81"/>
      <c r="B2" s="82" t="s">
        <v>193</v>
      </c>
      <c r="C2" s="83"/>
      <c r="D2" s="83"/>
      <c r="E2" s="83"/>
      <c r="F2" s="83"/>
      <c r="G2" s="83"/>
      <c r="H2" s="83"/>
      <c r="I2" s="83"/>
      <c r="J2" s="83"/>
      <c r="K2" s="83"/>
      <c r="L2" s="83"/>
      <c r="M2" s="83"/>
      <c r="N2" s="83"/>
      <c r="O2" s="83"/>
      <c r="P2" s="83"/>
      <c r="Q2" s="83"/>
      <c r="R2" s="83"/>
      <c r="S2" s="83"/>
      <c r="T2" s="83"/>
      <c r="U2" s="84"/>
    </row>
    <row r="3" spans="1:21" x14ac:dyDescent="0.3">
      <c r="A3" s="81"/>
      <c r="B3" s="85" t="str">
        <f ca="1">"Orders from "&amp;TEXT(MIN(Dataset!$H$2:$H$201),"dd-mmm-yyyy")&amp;" to "&amp;TEXT(MAX(Dataset!$H$2:$H$201),"dd-mmm-yyyy")&amp;"  |  "&amp;TEXT(COUNT(Dataset!$E$2:$E$201),"0")&amp;" orders  |  Refreshed "&amp;TEXT(NOW(),"dd-mmm-yyyy hh:mm")</f>
        <v>Orders from 10-Apr-2024 to 07-Apr-2025  |  200 orders  |  Refreshed 09-Oct-2026 15:21</v>
      </c>
      <c r="C3" s="83"/>
      <c r="D3" s="83"/>
      <c r="E3" s="83"/>
      <c r="F3" s="83"/>
      <c r="G3" s="83"/>
      <c r="H3" s="83"/>
      <c r="I3" s="83"/>
      <c r="J3" s="83"/>
      <c r="K3" s="83"/>
      <c r="L3" s="83"/>
      <c r="M3" s="83"/>
      <c r="N3" s="83"/>
      <c r="O3" s="83"/>
      <c r="P3" s="83"/>
      <c r="Q3" s="83"/>
      <c r="R3" s="83"/>
      <c r="S3" s="83"/>
      <c r="T3" s="83"/>
      <c r="U3" s="84"/>
    </row>
    <row r="4" spans="1:21" x14ac:dyDescent="0.3">
      <c r="A4" s="81"/>
      <c r="B4" s="86"/>
      <c r="C4" s="86"/>
      <c r="D4" s="86"/>
      <c r="E4" s="86"/>
      <c r="F4" s="86"/>
      <c r="G4" s="86"/>
      <c r="H4" s="86"/>
      <c r="I4" s="86"/>
      <c r="J4" s="86"/>
      <c r="K4" s="86"/>
      <c r="L4" s="86"/>
      <c r="M4" s="86"/>
      <c r="N4" s="86"/>
      <c r="O4" s="86"/>
      <c r="P4" s="86"/>
      <c r="Q4" s="86"/>
      <c r="R4" s="86"/>
      <c r="S4" s="86"/>
      <c r="T4" s="86"/>
      <c r="U4" s="84"/>
    </row>
    <row r="5" spans="1:21" ht="18" customHeight="1" x14ac:dyDescent="0.3">
      <c r="A5" s="81"/>
      <c r="B5" s="62" t="s">
        <v>194</v>
      </c>
      <c r="C5" s="63"/>
      <c r="D5" s="64"/>
      <c r="E5" s="62" t="s">
        <v>57</v>
      </c>
      <c r="F5" s="63"/>
      <c r="G5" s="64"/>
      <c r="H5" s="62" t="s">
        <v>195</v>
      </c>
      <c r="I5" s="63"/>
      <c r="J5" s="64"/>
      <c r="K5" s="86"/>
      <c r="L5" s="62" t="s">
        <v>196</v>
      </c>
      <c r="M5" s="63"/>
      <c r="N5" s="64"/>
      <c r="O5" s="62" t="s">
        <v>197</v>
      </c>
      <c r="P5" s="63"/>
      <c r="Q5" s="64"/>
      <c r="R5" s="62" t="s">
        <v>198</v>
      </c>
      <c r="S5" s="63"/>
      <c r="T5" s="64"/>
      <c r="U5" s="84"/>
    </row>
    <row r="6" spans="1:21" ht="31.95" customHeight="1" x14ac:dyDescent="0.3">
      <c r="A6" s="81"/>
      <c r="B6" s="70">
        <f>'Pivot Table'!C20</f>
        <v>195217.76</v>
      </c>
      <c r="C6" s="66"/>
      <c r="D6" s="67"/>
      <c r="E6" s="70">
        <f>'Pivot Table'!D20</f>
        <v>68287.010000000009</v>
      </c>
      <c r="F6" s="66"/>
      <c r="G6" s="67"/>
      <c r="H6" s="71">
        <f>'Pivot Table'!E20</f>
        <v>0.34979916786259613</v>
      </c>
      <c r="I6" s="66"/>
      <c r="J6" s="67"/>
      <c r="K6" s="86"/>
      <c r="L6" s="73">
        <f>'Pivot Table'!B20</f>
        <v>200</v>
      </c>
      <c r="M6" s="66"/>
      <c r="N6" s="67"/>
      <c r="O6" s="70">
        <f>'Pivot Table'!C20/'Pivot Table'!B20</f>
        <v>976.08879999999999</v>
      </c>
      <c r="P6" s="66"/>
      <c r="Q6" s="67"/>
      <c r="R6" s="73">
        <f>'Pivot Table'!R5</f>
        <v>8</v>
      </c>
      <c r="S6" s="66"/>
      <c r="T6" s="67"/>
      <c r="U6" s="84"/>
    </row>
    <row r="7" spans="1:21" ht="7.95" customHeight="1" x14ac:dyDescent="0.3">
      <c r="A7" s="81"/>
      <c r="B7" s="86"/>
      <c r="C7" s="86"/>
      <c r="D7" s="86"/>
      <c r="E7" s="86"/>
      <c r="F7" s="86"/>
      <c r="G7" s="86"/>
      <c r="H7" s="86"/>
      <c r="I7" s="86"/>
      <c r="J7" s="86"/>
      <c r="K7" s="86"/>
      <c r="L7" s="86"/>
      <c r="M7" s="86"/>
      <c r="N7" s="86"/>
      <c r="O7" s="86"/>
      <c r="P7" s="86"/>
      <c r="Q7" s="86"/>
      <c r="R7" s="86"/>
      <c r="S7" s="86"/>
      <c r="T7" s="86"/>
      <c r="U7" s="84"/>
    </row>
    <row r="8" spans="1:21" ht="18" customHeight="1" x14ac:dyDescent="0.3">
      <c r="A8" s="81"/>
      <c r="B8" s="62" t="s">
        <v>199</v>
      </c>
      <c r="C8" s="63"/>
      <c r="D8" s="64"/>
      <c r="E8" s="62" t="s">
        <v>200</v>
      </c>
      <c r="F8" s="63"/>
      <c r="G8" s="64"/>
      <c r="H8" s="62" t="s">
        <v>201</v>
      </c>
      <c r="I8" s="63"/>
      <c r="J8" s="64"/>
      <c r="K8" s="86"/>
      <c r="L8" s="62" t="s">
        <v>202</v>
      </c>
      <c r="M8" s="63"/>
      <c r="N8" s="64"/>
      <c r="O8" s="62" t="s">
        <v>203</v>
      </c>
      <c r="P8" s="63"/>
      <c r="Q8" s="64"/>
      <c r="R8" s="62" t="s">
        <v>204</v>
      </c>
      <c r="S8" s="63"/>
      <c r="T8" s="64"/>
      <c r="U8" s="84"/>
    </row>
    <row r="9" spans="1:21" ht="31.95" customHeight="1" x14ac:dyDescent="0.3">
      <c r="A9" s="81"/>
      <c r="B9" s="71">
        <f>'Pivot Table'!F20</f>
        <v>9.7250000000000003E-2</v>
      </c>
      <c r="C9" s="66"/>
      <c r="D9" s="67"/>
      <c r="E9" s="65">
        <f>'Pivot Table'!F47</f>
        <v>-0.81806117397574196</v>
      </c>
      <c r="F9" s="66"/>
      <c r="G9" s="67"/>
      <c r="H9" s="72" t="str">
        <f>INDEX('Pivot Table'!A15:A19,MATCH(MAX('Pivot Table'!C15:C19),'Pivot Table'!C15:C19,0))</f>
        <v>West</v>
      </c>
      <c r="I9" s="66"/>
      <c r="J9" s="67"/>
      <c r="K9" s="86"/>
      <c r="L9" s="72" t="str">
        <f>INDEX('Pivot Table'!A25:A29,MATCH(MAX('Pivot Table'!C25:C29),'Pivot Table'!C25:C29,0))</f>
        <v>Books</v>
      </c>
      <c r="M9" s="66"/>
      <c r="N9" s="67"/>
      <c r="O9" s="74">
        <f>Dataset!U65</f>
        <v>0.59815229962644101</v>
      </c>
      <c r="P9" s="66"/>
      <c r="Q9" s="67"/>
      <c r="R9" s="71">
        <f>SUM('Pivot Table'!T21:T30)/'Pivot Table'!C20</f>
        <v>0.4727596505563838</v>
      </c>
      <c r="S9" s="66"/>
      <c r="T9" s="67"/>
      <c r="U9" s="84"/>
    </row>
    <row r="10" spans="1:21" x14ac:dyDescent="0.3">
      <c r="A10" s="81"/>
      <c r="B10" s="87" t="s">
        <v>207</v>
      </c>
      <c r="C10" s="83"/>
      <c r="D10" s="83"/>
      <c r="E10" s="83"/>
      <c r="F10" s="83"/>
      <c r="G10" s="83"/>
      <c r="H10" s="83"/>
      <c r="I10" s="83"/>
      <c r="J10" s="83"/>
      <c r="K10" s="83"/>
      <c r="L10" s="83"/>
      <c r="M10" s="83"/>
      <c r="N10" s="83"/>
      <c r="O10" s="83"/>
      <c r="P10" s="83"/>
      <c r="Q10" s="83"/>
      <c r="R10" s="83"/>
      <c r="S10" s="83"/>
      <c r="T10" s="83"/>
      <c r="U10" s="84"/>
    </row>
    <row r="11" spans="1:21" x14ac:dyDescent="0.3">
      <c r="A11" s="81"/>
      <c r="B11" s="86"/>
      <c r="C11" s="86"/>
      <c r="D11" s="86"/>
      <c r="E11" s="86"/>
      <c r="F11" s="86"/>
      <c r="G11" s="86"/>
      <c r="H11" s="86"/>
      <c r="I11" s="86"/>
      <c r="J11" s="86"/>
      <c r="K11" s="86"/>
      <c r="L11" s="86"/>
      <c r="M11" s="86"/>
      <c r="N11" s="86"/>
      <c r="O11" s="86"/>
      <c r="P11" s="86"/>
      <c r="Q11" s="86"/>
      <c r="R11" s="86"/>
      <c r="S11" s="86"/>
      <c r="T11" s="86"/>
      <c r="U11" s="84"/>
    </row>
    <row r="12" spans="1:21" x14ac:dyDescent="0.3">
      <c r="A12" s="81"/>
      <c r="B12" s="86"/>
      <c r="C12" s="86"/>
      <c r="D12" s="86"/>
      <c r="E12" s="86"/>
      <c r="F12" s="86"/>
      <c r="G12" s="86"/>
      <c r="H12" s="86"/>
      <c r="I12" s="86"/>
      <c r="J12" s="86"/>
      <c r="K12" s="86"/>
      <c r="L12" s="86"/>
      <c r="M12" s="86"/>
      <c r="N12" s="86"/>
      <c r="O12" s="86"/>
      <c r="P12" s="86"/>
      <c r="Q12" s="86"/>
      <c r="R12" s="86"/>
      <c r="S12" s="86"/>
      <c r="T12" s="86"/>
      <c r="U12" s="84"/>
    </row>
    <row r="13" spans="1:21" x14ac:dyDescent="0.3">
      <c r="A13" s="81"/>
      <c r="B13" s="86"/>
      <c r="C13" s="86"/>
      <c r="D13" s="86"/>
      <c r="E13" s="86"/>
      <c r="F13" s="86"/>
      <c r="G13" s="86"/>
      <c r="H13" s="86"/>
      <c r="I13" s="86"/>
      <c r="J13" s="86"/>
      <c r="K13" s="86"/>
      <c r="L13" s="86"/>
      <c r="M13" s="86"/>
      <c r="N13" s="86"/>
      <c r="O13" s="86"/>
      <c r="P13" s="86"/>
      <c r="Q13" s="86"/>
      <c r="R13" s="86"/>
      <c r="S13" s="86"/>
      <c r="T13" s="86"/>
      <c r="U13" s="84"/>
    </row>
    <row r="14" spans="1:21" x14ac:dyDescent="0.3">
      <c r="A14" s="81"/>
      <c r="B14" s="86"/>
      <c r="C14" s="86"/>
      <c r="D14" s="86"/>
      <c r="E14" s="86"/>
      <c r="F14" s="86"/>
      <c r="G14" s="86"/>
      <c r="H14" s="86"/>
      <c r="I14" s="86"/>
      <c r="J14" s="86"/>
      <c r="K14" s="86"/>
      <c r="L14" s="86"/>
      <c r="M14" s="86"/>
      <c r="N14" s="86"/>
      <c r="O14" s="86"/>
      <c r="P14" s="86"/>
      <c r="Q14" s="86"/>
      <c r="R14" s="86"/>
      <c r="S14" s="86"/>
      <c r="T14" s="86"/>
      <c r="U14" s="84"/>
    </row>
    <row r="15" spans="1:21" x14ac:dyDescent="0.3">
      <c r="A15" s="81"/>
      <c r="B15" s="86"/>
      <c r="C15" s="86"/>
      <c r="D15" s="86"/>
      <c r="E15" s="86"/>
      <c r="F15" s="86"/>
      <c r="G15" s="86"/>
      <c r="H15" s="86"/>
      <c r="I15" s="86"/>
      <c r="J15" s="86"/>
      <c r="K15" s="86"/>
      <c r="L15" s="86"/>
      <c r="M15" s="86"/>
      <c r="N15" s="86"/>
      <c r="O15" s="86"/>
      <c r="P15" s="86"/>
      <c r="Q15" s="86"/>
      <c r="R15" s="86"/>
      <c r="S15" s="86"/>
      <c r="T15" s="86"/>
      <c r="U15" s="84"/>
    </row>
    <row r="16" spans="1:21" x14ac:dyDescent="0.3">
      <c r="A16" s="81"/>
      <c r="B16" s="86"/>
      <c r="C16" s="86"/>
      <c r="D16" s="86"/>
      <c r="E16" s="86"/>
      <c r="F16" s="86"/>
      <c r="G16" s="86"/>
      <c r="H16" s="86"/>
      <c r="I16" s="86"/>
      <c r="J16" s="86"/>
      <c r="K16" s="86"/>
      <c r="L16" s="86"/>
      <c r="M16" s="86"/>
      <c r="N16" s="86"/>
      <c r="O16" s="86"/>
      <c r="P16" s="86"/>
      <c r="Q16" s="86"/>
      <c r="R16" s="86"/>
      <c r="S16" s="86"/>
      <c r="T16" s="86"/>
      <c r="U16" s="84"/>
    </row>
    <row r="17" spans="1:21" x14ac:dyDescent="0.3">
      <c r="A17" s="81"/>
      <c r="B17" s="86"/>
      <c r="C17" s="86"/>
      <c r="D17" s="86"/>
      <c r="E17" s="86"/>
      <c r="F17" s="86"/>
      <c r="G17" s="86"/>
      <c r="H17" s="86"/>
      <c r="I17" s="86"/>
      <c r="J17" s="86"/>
      <c r="K17" s="86"/>
      <c r="L17" s="86"/>
      <c r="M17" s="86"/>
      <c r="N17" s="86"/>
      <c r="O17" s="86"/>
      <c r="P17" s="86"/>
      <c r="Q17" s="86"/>
      <c r="R17" s="86"/>
      <c r="S17" s="86"/>
      <c r="T17" s="86"/>
      <c r="U17" s="84"/>
    </row>
    <row r="18" spans="1:21" x14ac:dyDescent="0.3">
      <c r="A18" s="81"/>
      <c r="B18" s="86"/>
      <c r="C18" s="86"/>
      <c r="D18" s="86"/>
      <c r="E18" s="86"/>
      <c r="F18" s="86"/>
      <c r="G18" s="86"/>
      <c r="H18" s="86"/>
      <c r="I18" s="86"/>
      <c r="J18" s="86"/>
      <c r="K18" s="86"/>
      <c r="L18" s="86"/>
      <c r="M18" s="86"/>
      <c r="N18" s="86"/>
      <c r="O18" s="86"/>
      <c r="P18" s="86"/>
      <c r="Q18" s="86"/>
      <c r="R18" s="86"/>
      <c r="S18" s="86"/>
      <c r="T18" s="86"/>
      <c r="U18" s="84"/>
    </row>
    <row r="19" spans="1:21" x14ac:dyDescent="0.3">
      <c r="A19" s="81"/>
      <c r="B19" s="86"/>
      <c r="C19" s="86"/>
      <c r="D19" s="86"/>
      <c r="E19" s="86"/>
      <c r="F19" s="86"/>
      <c r="G19" s="86"/>
      <c r="H19" s="86"/>
      <c r="I19" s="86"/>
      <c r="J19" s="86"/>
      <c r="K19" s="86"/>
      <c r="L19" s="86"/>
      <c r="M19" s="86"/>
      <c r="N19" s="86"/>
      <c r="O19" s="86"/>
      <c r="P19" s="86"/>
      <c r="Q19" s="86"/>
      <c r="R19" s="86"/>
      <c r="S19" s="86"/>
      <c r="T19" s="86"/>
      <c r="U19" s="84"/>
    </row>
    <row r="20" spans="1:21" x14ac:dyDescent="0.3">
      <c r="A20" s="81"/>
      <c r="B20" s="86"/>
      <c r="C20" s="86"/>
      <c r="D20" s="86"/>
      <c r="E20" s="86"/>
      <c r="F20" s="86"/>
      <c r="G20" s="86"/>
      <c r="H20" s="86"/>
      <c r="I20" s="86"/>
      <c r="J20" s="86"/>
      <c r="K20" s="86"/>
      <c r="L20" s="86"/>
      <c r="M20" s="86"/>
      <c r="N20" s="86"/>
      <c r="O20" s="86"/>
      <c r="P20" s="86"/>
      <c r="Q20" s="86"/>
      <c r="R20" s="86"/>
      <c r="S20" s="86"/>
      <c r="T20" s="86"/>
      <c r="U20" s="84"/>
    </row>
    <row r="21" spans="1:21" x14ac:dyDescent="0.3">
      <c r="A21" s="81"/>
      <c r="B21" s="86"/>
      <c r="C21" s="86"/>
      <c r="D21" s="86"/>
      <c r="E21" s="86"/>
      <c r="F21" s="86"/>
      <c r="G21" s="86"/>
      <c r="H21" s="86"/>
      <c r="I21" s="86"/>
      <c r="J21" s="86"/>
      <c r="K21" s="86"/>
      <c r="L21" s="86"/>
      <c r="M21" s="86"/>
      <c r="N21" s="86"/>
      <c r="O21" s="86"/>
      <c r="P21" s="86"/>
      <c r="Q21" s="86"/>
      <c r="R21" s="86"/>
      <c r="S21" s="86"/>
      <c r="T21" s="86"/>
      <c r="U21" s="84"/>
    </row>
    <row r="22" spans="1:21" x14ac:dyDescent="0.3">
      <c r="A22" s="81"/>
      <c r="B22" s="86"/>
      <c r="C22" s="86"/>
      <c r="D22" s="86"/>
      <c r="E22" s="86"/>
      <c r="F22" s="86"/>
      <c r="G22" s="86"/>
      <c r="H22" s="86"/>
      <c r="I22" s="86"/>
      <c r="J22" s="86"/>
      <c r="K22" s="86"/>
      <c r="L22" s="86"/>
      <c r="M22" s="86"/>
      <c r="N22" s="86"/>
      <c r="O22" s="86"/>
      <c r="P22" s="86"/>
      <c r="Q22" s="86"/>
      <c r="R22" s="86"/>
      <c r="S22" s="86"/>
      <c r="T22" s="86"/>
      <c r="U22" s="84"/>
    </row>
    <row r="23" spans="1:21" x14ac:dyDescent="0.3">
      <c r="A23" s="81"/>
      <c r="B23" s="86"/>
      <c r="C23" s="86"/>
      <c r="D23" s="86"/>
      <c r="E23" s="86"/>
      <c r="F23" s="86"/>
      <c r="G23" s="86"/>
      <c r="H23" s="86"/>
      <c r="I23" s="86"/>
      <c r="J23" s="86"/>
      <c r="K23" s="86"/>
      <c r="L23" s="86"/>
      <c r="M23" s="86"/>
      <c r="N23" s="86"/>
      <c r="O23" s="86"/>
      <c r="P23" s="86"/>
      <c r="Q23" s="86"/>
      <c r="R23" s="86"/>
      <c r="S23" s="86"/>
      <c r="T23" s="86"/>
      <c r="U23" s="84"/>
    </row>
    <row r="24" spans="1:21" x14ac:dyDescent="0.3">
      <c r="A24" s="81"/>
      <c r="B24" s="86"/>
      <c r="C24" s="86"/>
      <c r="D24" s="86"/>
      <c r="E24" s="86"/>
      <c r="F24" s="86"/>
      <c r="G24" s="86"/>
      <c r="H24" s="86"/>
      <c r="I24" s="86"/>
      <c r="J24" s="86"/>
      <c r="K24" s="86"/>
      <c r="L24" s="86"/>
      <c r="M24" s="86"/>
      <c r="N24" s="86"/>
      <c r="O24" s="86"/>
      <c r="P24" s="86"/>
      <c r="Q24" s="86"/>
      <c r="R24" s="86"/>
      <c r="S24" s="86"/>
      <c r="T24" s="86"/>
      <c r="U24" s="84"/>
    </row>
    <row r="25" spans="1:21" x14ac:dyDescent="0.3">
      <c r="A25" s="81"/>
      <c r="B25" s="86"/>
      <c r="C25" s="86"/>
      <c r="D25" s="86"/>
      <c r="E25" s="86"/>
      <c r="F25" s="86"/>
      <c r="G25" s="86"/>
      <c r="H25" s="86"/>
      <c r="I25" s="86"/>
      <c r="J25" s="86"/>
      <c r="K25" s="86"/>
      <c r="L25" s="86"/>
      <c r="M25" s="86"/>
      <c r="N25" s="86"/>
      <c r="O25" s="86"/>
      <c r="P25" s="86"/>
      <c r="Q25" s="86"/>
      <c r="R25" s="86"/>
      <c r="S25" s="86"/>
      <c r="T25" s="86"/>
      <c r="U25" s="84"/>
    </row>
    <row r="26" spans="1:21" x14ac:dyDescent="0.3">
      <c r="A26" s="81"/>
      <c r="B26" s="86"/>
      <c r="C26" s="86"/>
      <c r="D26" s="86"/>
      <c r="E26" s="86"/>
      <c r="F26" s="86"/>
      <c r="G26" s="86"/>
      <c r="H26" s="86"/>
      <c r="I26" s="86"/>
      <c r="J26" s="86"/>
      <c r="K26" s="86"/>
      <c r="L26" s="86"/>
      <c r="M26" s="86"/>
      <c r="N26" s="86"/>
      <c r="O26" s="86"/>
      <c r="P26" s="86"/>
      <c r="Q26" s="86"/>
      <c r="R26" s="86"/>
      <c r="S26" s="86"/>
      <c r="T26" s="86"/>
      <c r="U26" s="84"/>
    </row>
    <row r="27" spans="1:21" x14ac:dyDescent="0.3">
      <c r="A27" s="81"/>
      <c r="B27" s="86"/>
      <c r="C27" s="86"/>
      <c r="D27" s="86"/>
      <c r="E27" s="86"/>
      <c r="F27" s="86"/>
      <c r="G27" s="86"/>
      <c r="H27" s="86"/>
      <c r="I27" s="86"/>
      <c r="J27" s="86"/>
      <c r="K27" s="86"/>
      <c r="L27" s="86"/>
      <c r="M27" s="86"/>
      <c r="N27" s="86"/>
      <c r="O27" s="86"/>
      <c r="P27" s="86"/>
      <c r="Q27" s="86"/>
      <c r="R27" s="86"/>
      <c r="S27" s="86"/>
      <c r="T27" s="86"/>
      <c r="U27" s="84"/>
    </row>
    <row r="28" spans="1:21" x14ac:dyDescent="0.3">
      <c r="A28" s="81"/>
      <c r="B28" s="86"/>
      <c r="C28" s="86"/>
      <c r="D28" s="86"/>
      <c r="E28" s="86"/>
      <c r="F28" s="86"/>
      <c r="G28" s="86"/>
      <c r="H28" s="86"/>
      <c r="I28" s="86"/>
      <c r="J28" s="86"/>
      <c r="K28" s="86"/>
      <c r="L28" s="86"/>
      <c r="M28" s="86"/>
      <c r="N28" s="86"/>
      <c r="O28" s="86"/>
      <c r="P28" s="86"/>
      <c r="Q28" s="86"/>
      <c r="R28" s="86"/>
      <c r="S28" s="86"/>
      <c r="T28" s="86"/>
      <c r="U28" s="84"/>
    </row>
    <row r="29" spans="1:21" x14ac:dyDescent="0.3">
      <c r="A29" s="81"/>
      <c r="B29" s="86"/>
      <c r="C29" s="86"/>
      <c r="D29" s="86"/>
      <c r="E29" s="86"/>
      <c r="F29" s="86"/>
      <c r="G29" s="86"/>
      <c r="H29" s="86"/>
      <c r="I29" s="86"/>
      <c r="J29" s="86"/>
      <c r="K29" s="86"/>
      <c r="L29" s="86"/>
      <c r="M29" s="86"/>
      <c r="N29" s="86"/>
      <c r="O29" s="86"/>
      <c r="P29" s="86"/>
      <c r="Q29" s="86"/>
      <c r="R29" s="86"/>
      <c r="S29" s="86"/>
      <c r="T29" s="86"/>
      <c r="U29" s="84"/>
    </row>
    <row r="30" spans="1:21" x14ac:dyDescent="0.3">
      <c r="A30" s="81"/>
      <c r="B30" s="86"/>
      <c r="C30" s="86"/>
      <c r="D30" s="86"/>
      <c r="E30" s="86"/>
      <c r="F30" s="86"/>
      <c r="G30" s="86"/>
      <c r="H30" s="86"/>
      <c r="I30" s="86"/>
      <c r="J30" s="86"/>
      <c r="K30" s="86"/>
      <c r="L30" s="86"/>
      <c r="M30" s="86"/>
      <c r="N30" s="86"/>
      <c r="O30" s="86"/>
      <c r="P30" s="86"/>
      <c r="Q30" s="86"/>
      <c r="R30" s="86"/>
      <c r="S30" s="86"/>
      <c r="T30" s="86"/>
      <c r="U30" s="84"/>
    </row>
    <row r="31" spans="1:21" x14ac:dyDescent="0.3">
      <c r="A31" s="81"/>
      <c r="B31" s="86"/>
      <c r="C31" s="86"/>
      <c r="D31" s="86"/>
      <c r="E31" s="86"/>
      <c r="F31" s="86"/>
      <c r="G31" s="86"/>
      <c r="H31" s="86"/>
      <c r="I31" s="86"/>
      <c r="J31" s="86"/>
      <c r="K31" s="86"/>
      <c r="L31" s="86"/>
      <c r="M31" s="86"/>
      <c r="N31" s="86"/>
      <c r="O31" s="86"/>
      <c r="P31" s="86"/>
      <c r="Q31" s="86"/>
      <c r="R31" s="86"/>
      <c r="S31" s="86"/>
      <c r="T31" s="86"/>
      <c r="U31" s="84"/>
    </row>
    <row r="32" spans="1:21" x14ac:dyDescent="0.3">
      <c r="A32" s="81"/>
      <c r="B32" s="86"/>
      <c r="C32" s="86"/>
      <c r="D32" s="86"/>
      <c r="E32" s="86"/>
      <c r="F32" s="86"/>
      <c r="G32" s="86"/>
      <c r="H32" s="86"/>
      <c r="I32" s="86"/>
      <c r="J32" s="86"/>
      <c r="K32" s="86"/>
      <c r="L32" s="86"/>
      <c r="M32" s="86"/>
      <c r="N32" s="86"/>
      <c r="O32" s="86"/>
      <c r="P32" s="86"/>
      <c r="Q32" s="86"/>
      <c r="R32" s="86"/>
      <c r="S32" s="86"/>
      <c r="T32" s="86"/>
      <c r="U32" s="84"/>
    </row>
    <row r="33" spans="1:21" x14ac:dyDescent="0.3">
      <c r="A33" s="81"/>
      <c r="B33" s="86"/>
      <c r="C33" s="86"/>
      <c r="D33" s="86"/>
      <c r="E33" s="86"/>
      <c r="F33" s="86"/>
      <c r="G33" s="86"/>
      <c r="H33" s="86"/>
      <c r="I33" s="86"/>
      <c r="J33" s="86"/>
      <c r="K33" s="86"/>
      <c r="L33" s="86"/>
      <c r="M33" s="86"/>
      <c r="N33" s="86"/>
      <c r="O33" s="86"/>
      <c r="P33" s="86"/>
      <c r="Q33" s="86"/>
      <c r="R33" s="86"/>
      <c r="S33" s="86"/>
      <c r="T33" s="86"/>
      <c r="U33" s="84"/>
    </row>
    <row r="34" spans="1:21" x14ac:dyDescent="0.3">
      <c r="A34" s="81"/>
      <c r="B34" s="86"/>
      <c r="C34" s="86"/>
      <c r="D34" s="86"/>
      <c r="E34" s="86"/>
      <c r="F34" s="86"/>
      <c r="G34" s="86"/>
      <c r="H34" s="86"/>
      <c r="I34" s="86"/>
      <c r="J34" s="86"/>
      <c r="K34" s="86"/>
      <c r="L34" s="86"/>
      <c r="M34" s="86"/>
      <c r="N34" s="86"/>
      <c r="O34" s="86"/>
      <c r="P34" s="86"/>
      <c r="Q34" s="86"/>
      <c r="R34" s="86"/>
      <c r="S34" s="86"/>
      <c r="T34" s="86"/>
      <c r="U34" s="84"/>
    </row>
    <row r="35" spans="1:21" x14ac:dyDescent="0.3">
      <c r="A35" s="81"/>
      <c r="B35" s="86"/>
      <c r="C35" s="86"/>
      <c r="D35" s="86"/>
      <c r="E35" s="86"/>
      <c r="F35" s="86"/>
      <c r="G35" s="86"/>
      <c r="H35" s="86"/>
      <c r="I35" s="86"/>
      <c r="J35" s="86"/>
      <c r="K35" s="86"/>
      <c r="L35" s="86"/>
      <c r="M35" s="86"/>
      <c r="N35" s="86"/>
      <c r="O35" s="86"/>
      <c r="P35" s="86"/>
      <c r="Q35" s="86"/>
      <c r="R35" s="86"/>
      <c r="S35" s="86"/>
      <c r="T35" s="86"/>
      <c r="U35" s="84"/>
    </row>
    <row r="36" spans="1:21" x14ac:dyDescent="0.3">
      <c r="A36" s="81"/>
      <c r="B36" s="86"/>
      <c r="C36" s="86"/>
      <c r="D36" s="86"/>
      <c r="E36" s="86"/>
      <c r="F36" s="86"/>
      <c r="G36" s="86"/>
      <c r="H36" s="86"/>
      <c r="I36" s="86"/>
      <c r="J36" s="86"/>
      <c r="K36" s="86"/>
      <c r="L36" s="86"/>
      <c r="M36" s="86"/>
      <c r="N36" s="86"/>
      <c r="O36" s="86"/>
      <c r="P36" s="86"/>
      <c r="Q36" s="86"/>
      <c r="R36" s="86"/>
      <c r="S36" s="86"/>
      <c r="T36" s="86"/>
      <c r="U36" s="84"/>
    </row>
    <row r="37" spans="1:21" x14ac:dyDescent="0.3">
      <c r="A37" s="81"/>
      <c r="B37" s="86"/>
      <c r="C37" s="86"/>
      <c r="D37" s="86"/>
      <c r="E37" s="86"/>
      <c r="F37" s="86"/>
      <c r="G37" s="86"/>
      <c r="H37" s="86"/>
      <c r="I37" s="86"/>
      <c r="J37" s="86"/>
      <c r="K37" s="86"/>
      <c r="L37" s="86"/>
      <c r="M37" s="86"/>
      <c r="N37" s="86"/>
      <c r="O37" s="86"/>
      <c r="P37" s="86"/>
      <c r="Q37" s="86"/>
      <c r="R37" s="86"/>
      <c r="S37" s="86"/>
      <c r="T37" s="86"/>
      <c r="U37" s="84"/>
    </row>
    <row r="38" spans="1:21" x14ac:dyDescent="0.3">
      <c r="A38" s="81"/>
      <c r="B38" s="86"/>
      <c r="C38" s="86"/>
      <c r="D38" s="86"/>
      <c r="E38" s="86"/>
      <c r="F38" s="86"/>
      <c r="G38" s="86"/>
      <c r="H38" s="86"/>
      <c r="I38" s="86"/>
      <c r="J38" s="86"/>
      <c r="K38" s="86"/>
      <c r="L38" s="86"/>
      <c r="M38" s="86"/>
      <c r="N38" s="86"/>
      <c r="O38" s="86"/>
      <c r="P38" s="86"/>
      <c r="Q38" s="86"/>
      <c r="R38" s="86"/>
      <c r="S38" s="86"/>
      <c r="T38" s="86"/>
      <c r="U38" s="84"/>
    </row>
    <row r="39" spans="1:21" x14ac:dyDescent="0.3">
      <c r="A39" s="81"/>
      <c r="B39" s="86"/>
      <c r="C39" s="86"/>
      <c r="D39" s="86"/>
      <c r="E39" s="86"/>
      <c r="F39" s="86"/>
      <c r="G39" s="86"/>
      <c r="H39" s="86"/>
      <c r="I39" s="86"/>
      <c r="J39" s="86"/>
      <c r="K39" s="86"/>
      <c r="L39" s="86"/>
      <c r="M39" s="86"/>
      <c r="N39" s="86"/>
      <c r="O39" s="86"/>
      <c r="P39" s="86"/>
      <c r="Q39" s="86"/>
      <c r="R39" s="86"/>
      <c r="S39" s="86"/>
      <c r="T39" s="86"/>
      <c r="U39" s="84"/>
    </row>
    <row r="40" spans="1:21" x14ac:dyDescent="0.3">
      <c r="A40" s="81"/>
      <c r="B40" s="86"/>
      <c r="C40" s="86"/>
      <c r="D40" s="86"/>
      <c r="E40" s="86"/>
      <c r="F40" s="86"/>
      <c r="G40" s="86"/>
      <c r="H40" s="86"/>
      <c r="I40" s="86"/>
      <c r="J40" s="86"/>
      <c r="K40" s="86"/>
      <c r="L40" s="86"/>
      <c r="M40" s="86"/>
      <c r="N40" s="86"/>
      <c r="O40" s="86"/>
      <c r="P40" s="86"/>
      <c r="Q40" s="86"/>
      <c r="R40" s="86"/>
      <c r="S40" s="86"/>
      <c r="T40" s="86"/>
      <c r="U40" s="84"/>
    </row>
    <row r="41" spans="1:21" x14ac:dyDescent="0.3">
      <c r="A41" s="81"/>
      <c r="B41" s="86"/>
      <c r="C41" s="86"/>
      <c r="D41" s="86"/>
      <c r="E41" s="86"/>
      <c r="F41" s="86"/>
      <c r="G41" s="86"/>
      <c r="H41" s="86"/>
      <c r="I41" s="86"/>
      <c r="J41" s="86"/>
      <c r="K41" s="86"/>
      <c r="L41" s="86"/>
      <c r="M41" s="86"/>
      <c r="N41" s="86"/>
      <c r="O41" s="86"/>
      <c r="P41" s="86"/>
      <c r="Q41" s="86"/>
      <c r="R41" s="86"/>
      <c r="S41" s="86"/>
      <c r="T41" s="86"/>
      <c r="U41" s="84"/>
    </row>
    <row r="42" spans="1:21" x14ac:dyDescent="0.3">
      <c r="A42" s="81"/>
      <c r="B42" s="86"/>
      <c r="C42" s="86"/>
      <c r="D42" s="86"/>
      <c r="E42" s="86"/>
      <c r="F42" s="86"/>
      <c r="G42" s="86"/>
      <c r="H42" s="86"/>
      <c r="I42" s="86"/>
      <c r="J42" s="86"/>
      <c r="K42" s="86"/>
      <c r="L42" s="86"/>
      <c r="M42" s="86"/>
      <c r="N42" s="86"/>
      <c r="O42" s="86"/>
      <c r="P42" s="86"/>
      <c r="Q42" s="86"/>
      <c r="R42" s="86"/>
      <c r="S42" s="86"/>
      <c r="T42" s="86"/>
      <c r="U42" s="84"/>
    </row>
    <row r="43" spans="1:21" x14ac:dyDescent="0.3">
      <c r="A43" s="81"/>
      <c r="B43" s="86"/>
      <c r="C43" s="86"/>
      <c r="D43" s="86"/>
      <c r="E43" s="86"/>
      <c r="F43" s="86"/>
      <c r="G43" s="86"/>
      <c r="H43" s="86"/>
      <c r="I43" s="86"/>
      <c r="J43" s="86"/>
      <c r="K43" s="86"/>
      <c r="L43" s="86"/>
      <c r="M43" s="86"/>
      <c r="N43" s="86"/>
      <c r="O43" s="86"/>
      <c r="P43" s="86"/>
      <c r="Q43" s="86"/>
      <c r="R43" s="86"/>
      <c r="S43" s="86"/>
      <c r="T43" s="86"/>
      <c r="U43" s="84"/>
    </row>
    <row r="44" spans="1:21" x14ac:dyDescent="0.3">
      <c r="A44" s="81"/>
      <c r="B44" s="86"/>
      <c r="C44" s="86"/>
      <c r="D44" s="86"/>
      <c r="E44" s="86"/>
      <c r="F44" s="86"/>
      <c r="G44" s="86"/>
      <c r="H44" s="86"/>
      <c r="I44" s="86"/>
      <c r="J44" s="86"/>
      <c r="K44" s="86"/>
      <c r="L44" s="86"/>
      <c r="M44" s="86"/>
      <c r="N44" s="86"/>
      <c r="O44" s="86"/>
      <c r="P44" s="86"/>
      <c r="Q44" s="86"/>
      <c r="R44" s="86"/>
      <c r="S44" s="86"/>
      <c r="T44" s="86"/>
      <c r="U44" s="84"/>
    </row>
    <row r="45" spans="1:21" x14ac:dyDescent="0.3">
      <c r="A45" s="81"/>
      <c r="B45" s="86"/>
      <c r="C45" s="86"/>
      <c r="D45" s="86"/>
      <c r="E45" s="86"/>
      <c r="F45" s="86"/>
      <c r="G45" s="86"/>
      <c r="H45" s="86"/>
      <c r="I45" s="86"/>
      <c r="J45" s="86"/>
      <c r="K45" s="86"/>
      <c r="L45" s="86"/>
      <c r="M45" s="86"/>
      <c r="N45" s="86"/>
      <c r="O45" s="86"/>
      <c r="P45" s="86"/>
      <c r="Q45" s="86"/>
      <c r="R45" s="86"/>
      <c r="S45" s="86"/>
      <c r="T45" s="86"/>
      <c r="U45" s="84"/>
    </row>
    <row r="46" spans="1:21" x14ac:dyDescent="0.3">
      <c r="A46" s="81"/>
      <c r="B46" s="86"/>
      <c r="C46" s="86"/>
      <c r="D46" s="86"/>
      <c r="E46" s="86"/>
      <c r="F46" s="86"/>
      <c r="G46" s="86"/>
      <c r="H46" s="86"/>
      <c r="I46" s="86"/>
      <c r="J46" s="86"/>
      <c r="K46" s="86"/>
      <c r="L46" s="86"/>
      <c r="M46" s="86"/>
      <c r="N46" s="86"/>
      <c r="O46" s="86"/>
      <c r="P46" s="86"/>
      <c r="Q46" s="86"/>
      <c r="R46" s="86"/>
      <c r="S46" s="86"/>
      <c r="T46" s="86"/>
      <c r="U46" s="84"/>
    </row>
    <row r="47" spans="1:21" x14ac:dyDescent="0.3">
      <c r="A47" s="81"/>
      <c r="B47" s="86"/>
      <c r="C47" s="86"/>
      <c r="D47" s="86"/>
      <c r="E47" s="86"/>
      <c r="F47" s="86"/>
      <c r="G47" s="86"/>
      <c r="H47" s="86"/>
      <c r="I47" s="86"/>
      <c r="J47" s="86"/>
      <c r="K47" s="86"/>
      <c r="L47" s="86"/>
      <c r="M47" s="86"/>
      <c r="N47" s="86"/>
      <c r="O47" s="86"/>
      <c r="P47" s="86"/>
      <c r="Q47" s="86"/>
      <c r="R47" s="86"/>
      <c r="S47" s="86"/>
      <c r="T47" s="86"/>
      <c r="U47" s="84"/>
    </row>
    <row r="48" spans="1:21" x14ac:dyDescent="0.3">
      <c r="A48" s="81"/>
      <c r="B48" s="86"/>
      <c r="C48" s="86"/>
      <c r="D48" s="86"/>
      <c r="E48" s="86"/>
      <c r="F48" s="86"/>
      <c r="G48" s="86"/>
      <c r="H48" s="86"/>
      <c r="I48" s="86"/>
      <c r="J48" s="86"/>
      <c r="K48" s="86"/>
      <c r="L48" s="86"/>
      <c r="M48" s="86"/>
      <c r="N48" s="86"/>
      <c r="O48" s="86"/>
      <c r="P48" s="86"/>
      <c r="Q48" s="86"/>
      <c r="R48" s="86"/>
      <c r="S48" s="86"/>
      <c r="T48" s="86"/>
      <c r="U48" s="84"/>
    </row>
    <row r="49" spans="1:21" x14ac:dyDescent="0.3">
      <c r="A49" s="81"/>
      <c r="B49" s="86"/>
      <c r="C49" s="86"/>
      <c r="D49" s="86"/>
      <c r="E49" s="86"/>
      <c r="F49" s="86"/>
      <c r="G49" s="86"/>
      <c r="H49" s="86"/>
      <c r="I49" s="86"/>
      <c r="J49" s="86"/>
      <c r="K49" s="86"/>
      <c r="L49" s="86"/>
      <c r="M49" s="86"/>
      <c r="N49" s="86"/>
      <c r="O49" s="86"/>
      <c r="P49" s="86"/>
      <c r="Q49" s="86"/>
      <c r="R49" s="86"/>
      <c r="S49" s="86"/>
      <c r="T49" s="86"/>
      <c r="U49" s="84"/>
    </row>
    <row r="50" spans="1:21" x14ac:dyDescent="0.3">
      <c r="A50" s="81"/>
      <c r="B50" s="86"/>
      <c r="C50" s="86"/>
      <c r="D50" s="86"/>
      <c r="E50" s="86"/>
      <c r="F50" s="86"/>
      <c r="G50" s="86"/>
      <c r="H50" s="86"/>
      <c r="I50" s="86"/>
      <c r="J50" s="86"/>
      <c r="K50" s="86"/>
      <c r="L50" s="86"/>
      <c r="M50" s="86"/>
      <c r="N50" s="86"/>
      <c r="O50" s="86"/>
      <c r="P50" s="86"/>
      <c r="Q50" s="86"/>
      <c r="R50" s="86"/>
      <c r="S50" s="86"/>
      <c r="T50" s="86"/>
      <c r="U50" s="84"/>
    </row>
    <row r="51" spans="1:21" x14ac:dyDescent="0.3">
      <c r="A51" s="81"/>
      <c r="B51" s="86"/>
      <c r="C51" s="86"/>
      <c r="D51" s="86"/>
      <c r="E51" s="86"/>
      <c r="F51" s="86"/>
      <c r="G51" s="86"/>
      <c r="H51" s="86"/>
      <c r="I51" s="86"/>
      <c r="J51" s="86"/>
      <c r="K51" s="86"/>
      <c r="L51" s="86"/>
      <c r="M51" s="86"/>
      <c r="N51" s="86"/>
      <c r="O51" s="86"/>
      <c r="P51" s="86"/>
      <c r="Q51" s="86"/>
      <c r="R51" s="86"/>
      <c r="S51" s="86"/>
      <c r="T51" s="86"/>
      <c r="U51" s="84"/>
    </row>
    <row r="52" spans="1:21" x14ac:dyDescent="0.3">
      <c r="A52" s="81"/>
      <c r="B52" s="86"/>
      <c r="C52" s="86"/>
      <c r="D52" s="86"/>
      <c r="E52" s="86"/>
      <c r="F52" s="86"/>
      <c r="G52" s="86"/>
      <c r="H52" s="86"/>
      <c r="I52" s="86"/>
      <c r="J52" s="86"/>
      <c r="K52" s="86"/>
      <c r="L52" s="86"/>
      <c r="M52" s="86"/>
      <c r="N52" s="86"/>
      <c r="O52" s="86"/>
      <c r="P52" s="86"/>
      <c r="Q52" s="86"/>
      <c r="R52" s="86"/>
      <c r="S52" s="86"/>
      <c r="T52" s="86"/>
      <c r="U52" s="84"/>
    </row>
    <row r="53" spans="1:21" x14ac:dyDescent="0.3">
      <c r="A53" s="81"/>
      <c r="B53" s="86"/>
      <c r="C53" s="86"/>
      <c r="D53" s="86"/>
      <c r="E53" s="86"/>
      <c r="F53" s="86"/>
      <c r="G53" s="86"/>
      <c r="H53" s="86"/>
      <c r="I53" s="86"/>
      <c r="J53" s="86"/>
      <c r="K53" s="86"/>
      <c r="L53" s="86"/>
      <c r="M53" s="86"/>
      <c r="N53" s="86"/>
      <c r="O53" s="86"/>
      <c r="P53" s="86"/>
      <c r="Q53" s="86"/>
      <c r="R53" s="86"/>
      <c r="S53" s="86"/>
      <c r="T53" s="86"/>
      <c r="U53" s="84"/>
    </row>
    <row r="54" spans="1:21" x14ac:dyDescent="0.3">
      <c r="A54" s="81"/>
      <c r="B54" s="86"/>
      <c r="C54" s="86"/>
      <c r="D54" s="86"/>
      <c r="E54" s="86"/>
      <c r="F54" s="86"/>
      <c r="G54" s="86"/>
      <c r="H54" s="86"/>
      <c r="I54" s="86"/>
      <c r="J54" s="86"/>
      <c r="K54" s="86"/>
      <c r="L54" s="86"/>
      <c r="M54" s="86"/>
      <c r="N54" s="86"/>
      <c r="O54" s="86"/>
      <c r="P54" s="86"/>
      <c r="Q54" s="86"/>
      <c r="R54" s="86"/>
      <c r="S54" s="86"/>
      <c r="T54" s="86"/>
      <c r="U54" s="84"/>
    </row>
    <row r="55" spans="1:21" x14ac:dyDescent="0.3">
      <c r="A55" s="81"/>
      <c r="B55" s="86"/>
      <c r="C55" s="86"/>
      <c r="D55" s="86"/>
      <c r="E55" s="86"/>
      <c r="F55" s="86"/>
      <c r="G55" s="86"/>
      <c r="H55" s="86"/>
      <c r="I55" s="86"/>
      <c r="J55" s="86"/>
      <c r="K55" s="86"/>
      <c r="L55" s="86"/>
      <c r="M55" s="86"/>
      <c r="N55" s="86"/>
      <c r="O55" s="86"/>
      <c r="P55" s="86"/>
      <c r="Q55" s="86"/>
      <c r="R55" s="86"/>
      <c r="S55" s="86"/>
      <c r="T55" s="86"/>
      <c r="U55" s="84"/>
    </row>
    <row r="56" spans="1:21" x14ac:dyDescent="0.3">
      <c r="A56" s="81"/>
      <c r="B56" s="86"/>
      <c r="C56" s="86"/>
      <c r="D56" s="86"/>
      <c r="E56" s="86"/>
      <c r="F56" s="86"/>
      <c r="G56" s="86"/>
      <c r="H56" s="86"/>
      <c r="I56" s="86"/>
      <c r="J56" s="86"/>
      <c r="K56" s="86"/>
      <c r="L56" s="86"/>
      <c r="M56" s="86"/>
      <c r="N56" s="86"/>
      <c r="O56" s="86"/>
      <c r="P56" s="86"/>
      <c r="Q56" s="86"/>
      <c r="R56" s="86"/>
      <c r="S56" s="86"/>
      <c r="T56" s="86"/>
      <c r="U56" s="84"/>
    </row>
    <row r="57" spans="1:21" x14ac:dyDescent="0.3">
      <c r="A57" s="81"/>
      <c r="B57" s="86"/>
      <c r="C57" s="86"/>
      <c r="D57" s="86"/>
      <c r="E57" s="86"/>
      <c r="F57" s="86"/>
      <c r="G57" s="86"/>
      <c r="H57" s="86"/>
      <c r="I57" s="86"/>
      <c r="J57" s="86"/>
      <c r="K57" s="86"/>
      <c r="L57" s="86"/>
      <c r="M57" s="86"/>
      <c r="N57" s="86"/>
      <c r="O57" s="86"/>
      <c r="P57" s="86"/>
      <c r="Q57" s="86"/>
      <c r="R57" s="86"/>
      <c r="S57" s="86"/>
      <c r="T57" s="86"/>
      <c r="U57" s="84"/>
    </row>
    <row r="58" spans="1:21" x14ac:dyDescent="0.3">
      <c r="A58" s="81"/>
      <c r="B58" s="86"/>
      <c r="C58" s="86"/>
      <c r="D58" s="86"/>
      <c r="E58" s="86"/>
      <c r="F58" s="86"/>
      <c r="G58" s="86"/>
      <c r="H58" s="86"/>
      <c r="I58" s="86"/>
      <c r="J58" s="86"/>
      <c r="K58" s="86"/>
      <c r="L58" s="86"/>
      <c r="M58" s="86"/>
      <c r="N58" s="86"/>
      <c r="O58" s="86"/>
      <c r="P58" s="86"/>
      <c r="Q58" s="86"/>
      <c r="R58" s="86"/>
      <c r="S58" s="86"/>
      <c r="T58" s="86"/>
      <c r="U58" s="84"/>
    </row>
    <row r="59" spans="1:21" x14ac:dyDescent="0.3">
      <c r="A59" s="81"/>
      <c r="B59" s="86"/>
      <c r="C59" s="86"/>
      <c r="D59" s="86"/>
      <c r="E59" s="86"/>
      <c r="F59" s="86"/>
      <c r="G59" s="86"/>
      <c r="H59" s="86"/>
      <c r="I59" s="86"/>
      <c r="J59" s="86"/>
      <c r="K59" s="86"/>
      <c r="L59" s="86"/>
      <c r="M59" s="86"/>
      <c r="N59" s="86"/>
      <c r="O59" s="86"/>
      <c r="P59" s="86"/>
      <c r="Q59" s="86"/>
      <c r="R59" s="86"/>
      <c r="S59" s="86"/>
      <c r="T59" s="86"/>
      <c r="U59" s="84"/>
    </row>
    <row r="60" spans="1:21" x14ac:dyDescent="0.3">
      <c r="A60" s="81"/>
      <c r="B60" s="86"/>
      <c r="C60" s="86"/>
      <c r="D60" s="86"/>
      <c r="E60" s="86"/>
      <c r="F60" s="86"/>
      <c r="G60" s="86"/>
      <c r="H60" s="86"/>
      <c r="I60" s="86"/>
      <c r="J60" s="86"/>
      <c r="K60" s="86"/>
      <c r="L60" s="86"/>
      <c r="M60" s="86"/>
      <c r="N60" s="86"/>
      <c r="O60" s="86"/>
      <c r="P60" s="86"/>
      <c r="Q60" s="86"/>
      <c r="R60" s="86"/>
      <c r="S60" s="86"/>
      <c r="T60" s="86"/>
      <c r="U60" s="84"/>
    </row>
    <row r="61" spans="1:21" x14ac:dyDescent="0.3">
      <c r="A61" s="81"/>
      <c r="B61" s="86"/>
      <c r="C61" s="86"/>
      <c r="D61" s="86"/>
      <c r="E61" s="86"/>
      <c r="F61" s="86"/>
      <c r="G61" s="86"/>
      <c r="H61" s="86"/>
      <c r="I61" s="86"/>
      <c r="J61" s="86"/>
      <c r="K61" s="86"/>
      <c r="L61" s="86"/>
      <c r="M61" s="86"/>
      <c r="N61" s="86"/>
      <c r="O61" s="86"/>
      <c r="P61" s="86"/>
      <c r="Q61" s="86"/>
      <c r="R61" s="86"/>
      <c r="S61" s="86"/>
      <c r="T61" s="86"/>
      <c r="U61" s="84"/>
    </row>
    <row r="62" spans="1:21" x14ac:dyDescent="0.3">
      <c r="A62" s="81"/>
      <c r="B62" s="7" t="s">
        <v>205</v>
      </c>
      <c r="C62" s="35"/>
      <c r="D62" s="35"/>
      <c r="E62" s="35"/>
      <c r="F62" s="35"/>
      <c r="G62" s="35"/>
      <c r="H62" s="35"/>
      <c r="I62" s="35"/>
      <c r="J62" s="35"/>
      <c r="K62" s="35"/>
      <c r="L62" s="35"/>
      <c r="M62" s="35"/>
      <c r="N62" s="35"/>
      <c r="O62" s="35"/>
      <c r="P62" s="35"/>
      <c r="Q62" s="35"/>
      <c r="R62" s="35"/>
      <c r="S62" s="35"/>
      <c r="T62" s="10"/>
      <c r="U62" s="84"/>
    </row>
    <row r="63" spans="1:21" ht="30" customHeight="1" x14ac:dyDescent="0.3">
      <c r="A63" s="81"/>
      <c r="B63" s="68" t="str">
        <f>"1. Overview: "&amp;TEXT('Pivot Table'!C20,"#,##0")&amp;" in sales and "&amp;TEXT('Pivot Table'!D20,"#,##0")&amp;" in profit from "&amp;'Pivot Table'!B20&amp;" orders – an overall profit margin of "&amp;TEXT('Pivot Table'!E20,"0.0%")&amp;"."</f>
        <v>1. Overview: 1,95,218 in sales and 68,287 in profit from 200 orders – an overall profit margin of 35.0%.</v>
      </c>
      <c r="C63" s="69"/>
      <c r="D63" s="69"/>
      <c r="E63" s="69"/>
      <c r="F63" s="69"/>
      <c r="G63" s="69"/>
      <c r="H63" s="69"/>
      <c r="I63" s="69"/>
      <c r="J63" s="69"/>
      <c r="K63" s="69"/>
      <c r="L63" s="69"/>
      <c r="M63" s="69"/>
      <c r="N63" s="69"/>
      <c r="O63" s="69"/>
      <c r="P63" s="69"/>
      <c r="Q63" s="69"/>
      <c r="R63" s="69"/>
      <c r="S63" s="69"/>
      <c r="T63" s="69"/>
      <c r="U63" s="84"/>
    </row>
    <row r="64" spans="1:21" ht="30" customHeight="1" x14ac:dyDescent="0.3">
      <c r="A64" s="81"/>
      <c r="B64" s="68" t="str">
        <f>"2. Regions: "&amp;INDEX('Pivot Table'!$A$15:$A$19,MATCH(MAX('Pivot Table'!$C$15:$C$19),'Pivot Table'!$C$15:$C$19,0))&amp;" leads with "&amp;TEXT(MAX('Pivot Table'!$C$15:$C$19),"#,##0")&amp;" ("&amp;TEXT(MAX('Pivot Table'!$C$15:$C$19)/'Pivot Table'!C20,"0.0%")&amp;" of sales); "&amp;INDEX('Pivot Table'!$A$15:$A$19,MATCH(MIN('Pivot Table'!$C$15:$C$19),'Pivot Table'!$C$15:$C$19,0))&amp;" is lowest at "&amp;TEXT(MIN('Pivot Table'!$C$15:$C$19),"#,##0")&amp;"."</f>
        <v>2. Regions: West leads with 44,084 (22.6% of sales); East is lowest at 32,442.</v>
      </c>
      <c r="C64" s="69"/>
      <c r="D64" s="69"/>
      <c r="E64" s="69"/>
      <c r="F64" s="69"/>
      <c r="G64" s="69"/>
      <c r="H64" s="69"/>
      <c r="I64" s="69"/>
      <c r="J64" s="69"/>
      <c r="K64" s="69"/>
      <c r="L64" s="69"/>
      <c r="M64" s="69"/>
      <c r="N64" s="69"/>
      <c r="O64" s="69"/>
      <c r="P64" s="69"/>
      <c r="Q64" s="69"/>
      <c r="R64" s="69"/>
      <c r="S64" s="69"/>
      <c r="T64" s="69"/>
      <c r="U64" s="84"/>
    </row>
    <row r="65" spans="1:21" ht="30" customHeight="1" x14ac:dyDescent="0.3">
      <c r="A65" s="81"/>
      <c r="B65" s="68" t="str">
        <f>"3. Products: "&amp;INDEX('Pivot Table'!$A$25:$A$29,MATCH(MAX('Pivot Table'!$C$25:$C$29),'Pivot Table'!$C$25:$C$29,0))&amp;" is the top category ("&amp;TEXT(MAX('Pivot Table'!$C$25:$C$29)/'Pivot Table'!C20,"0.0%")&amp;" of sales); "&amp;INDEX('Pivot Table'!$A$25:$A$29,MATCH(MIN('Pivot Table'!$C$25:$C$29),'Pivot Table'!$C$25:$C$29,0))&amp;" contributes the least ("&amp;TEXT(MIN('Pivot Table'!$C$25:$C$29)/'Pivot Table'!C20,"0.0%")&amp;")."</f>
        <v>3. Products: Books is the top category (24.1% of sales); Office Supplies contributes the least (14.7%).</v>
      </c>
      <c r="C65" s="69"/>
      <c r="D65" s="69"/>
      <c r="E65" s="69"/>
      <c r="F65" s="69"/>
      <c r="G65" s="69"/>
      <c r="H65" s="69"/>
      <c r="I65" s="69"/>
      <c r="J65" s="69"/>
      <c r="K65" s="69"/>
      <c r="L65" s="69"/>
      <c r="M65" s="69"/>
      <c r="N65" s="69"/>
      <c r="O65" s="69"/>
      <c r="P65" s="69"/>
      <c r="Q65" s="69"/>
      <c r="R65" s="69"/>
      <c r="S65" s="69"/>
      <c r="T65" s="69"/>
      <c r="U65" s="84"/>
    </row>
    <row r="66" spans="1:21" ht="30" customHeight="1" x14ac:dyDescent="0.3">
      <c r="A66" s="81"/>
      <c r="B66" s="68" t="str">
        <f>"4. Trend: best month was "&amp;TEXT(INDEX('Pivot Table'!A35:A47,MATCH(MAX('Pivot Table'!B35:B47),'Pivot Table'!B35:B47,0)),"mmm-yyyy")&amp;" ("&amp;TEXT(MAX('Pivot Table'!B35:B47),"#,##0")&amp;"); weakest was "&amp;TEXT(INDEX('Pivot Table'!A35:A47,MATCH(MIN('Pivot Table'!B35:B47),'Pivot Table'!B35:B47,0)),"mmm-yyyy")&amp;" ("&amp;TEXT(MIN('Pivot Table'!B35:B47),"#,##0")&amp;"). The last month holds only part of a month, so its growth is understated."</f>
        <v>4. Trend: best month was Sep-2024 (20,534); weakest was Apr-2025 (3,212). The last month holds only part of a month, so its growth is understated.</v>
      </c>
      <c r="C66" s="69"/>
      <c r="D66" s="69"/>
      <c r="E66" s="69"/>
      <c r="F66" s="69"/>
      <c r="G66" s="69"/>
      <c r="H66" s="69"/>
      <c r="I66" s="69"/>
      <c r="J66" s="69"/>
      <c r="K66" s="69"/>
      <c r="L66" s="69"/>
      <c r="M66" s="69"/>
      <c r="N66" s="69"/>
      <c r="O66" s="69"/>
      <c r="P66" s="69"/>
      <c r="Q66" s="69"/>
      <c r="R66" s="69"/>
      <c r="S66" s="69"/>
      <c r="T66" s="69"/>
      <c r="U66" s="84"/>
    </row>
    <row r="67" spans="1:21" ht="30" customHeight="1" x14ac:dyDescent="0.3">
      <c r="A67" s="81"/>
      <c r="B67" s="68" t="str">
        <f>"5. Customers: the top 10 customers generate "&amp;TEXT(SUM('Pivot Table'!T21:T30)/'Pivot Table'!C20,"0.0%")&amp;" of sales, and "&amp;'Pivot Table'!R5&amp;" customers meet the high-value threshold of "&amp;TEXT('Pivot Table'!R4,"#,##0")&amp;"."</f>
        <v>5. Customers: the top 10 customers generate 47.3% of sales, and 8 customers meet the high-value threshold of 8,236.</v>
      </c>
      <c r="C67" s="69"/>
      <c r="D67" s="69"/>
      <c r="E67" s="69"/>
      <c r="F67" s="69"/>
      <c r="G67" s="69"/>
      <c r="H67" s="69"/>
      <c r="I67" s="69"/>
      <c r="J67" s="69"/>
      <c r="K67" s="69"/>
      <c r="L67" s="69"/>
      <c r="M67" s="69"/>
      <c r="N67" s="69"/>
      <c r="O67" s="69"/>
      <c r="P67" s="69"/>
      <c r="Q67" s="69"/>
      <c r="R67" s="69"/>
      <c r="S67" s="69"/>
      <c r="T67" s="69"/>
      <c r="U67" s="84"/>
    </row>
    <row r="68" spans="1:21" ht="30" customHeight="1" x14ac:dyDescent="0.3">
      <c r="A68" s="81"/>
      <c r="B68" s="68" t="str">
        <f>"6. Regression (ToolPak): every extra 1.00 of sales adds about "&amp;TEXT(Dataset!U77,"0.00")&amp;" of profit (R² = "&amp;TEXT(Dataset!U65,"0.00")&amp;"), so sales volume explains "&amp;TEXT(Dataset!U65,"0%")&amp;" of the variation in profit."</f>
        <v>6. Regression (ToolPak): every extra 1.00 of sales adds about 0.35 of profit (R² = 0.60), so sales volume explains 60% of the variation in profit.</v>
      </c>
      <c r="C68" s="69"/>
      <c r="D68" s="69"/>
      <c r="E68" s="69"/>
      <c r="F68" s="69"/>
      <c r="G68" s="69"/>
      <c r="H68" s="69"/>
      <c r="I68" s="69"/>
      <c r="J68" s="69"/>
      <c r="K68" s="69"/>
      <c r="L68" s="69"/>
      <c r="M68" s="69"/>
      <c r="N68" s="69"/>
      <c r="O68" s="69"/>
      <c r="P68" s="69"/>
      <c r="Q68" s="69"/>
      <c r="R68" s="69"/>
      <c r="S68" s="69"/>
      <c r="T68" s="69"/>
      <c r="U68" s="84"/>
    </row>
    <row r="69" spans="1:21" ht="30" customHeight="1" x14ac:dyDescent="0.3">
      <c r="A69" s="81"/>
      <c r="B69" s="68" t="str">
        <f>"7. What-if: a flat "&amp;TEXT(Dataset!U3,"0%")&amp;" discount would move total profit by "&amp;TEXT(Dataset!W8,"#,##0;-#,##0")&amp;" ("&amp;TEXT(Dataset!X8,"0.0%;-0.0%")&amp;"); hitting a profit target of "&amp;TEXT(Dataset!U11,"#,##0")&amp;" needs a discount of about "&amp;IF(ISNUMBER(Dataset!U12),TEXT(Dataset!U12,"0.0%"),"– (not achievable)")&amp;"."</f>
        <v>7. What-if: a flat 10% discount would move total profit by 1,007 (1.5%); hitting a profit target of 80,000 needs a discount of about 5.1%.</v>
      </c>
      <c r="C69" s="69"/>
      <c r="D69" s="69"/>
      <c r="E69" s="69"/>
      <c r="F69" s="69"/>
      <c r="G69" s="69"/>
      <c r="H69" s="69"/>
      <c r="I69" s="69"/>
      <c r="J69" s="69"/>
      <c r="K69" s="69"/>
      <c r="L69" s="69"/>
      <c r="M69" s="69"/>
      <c r="N69" s="69"/>
      <c r="O69" s="69"/>
      <c r="P69" s="69"/>
      <c r="Q69" s="69"/>
      <c r="R69" s="69"/>
      <c r="S69" s="69"/>
      <c r="T69" s="69"/>
      <c r="U69" s="84"/>
    </row>
    <row r="70" spans="1:21" x14ac:dyDescent="0.3">
      <c r="A70" s="81"/>
      <c r="B70" s="86"/>
      <c r="C70" s="86"/>
      <c r="D70" s="86"/>
      <c r="E70" s="86"/>
      <c r="F70" s="86"/>
      <c r="G70" s="86"/>
      <c r="H70" s="86"/>
      <c r="I70" s="86"/>
      <c r="J70" s="86"/>
      <c r="K70" s="86"/>
      <c r="L70" s="86"/>
      <c r="M70" s="86"/>
      <c r="N70" s="86"/>
      <c r="O70" s="86"/>
      <c r="P70" s="86"/>
      <c r="Q70" s="86"/>
      <c r="R70" s="86"/>
      <c r="S70" s="86"/>
      <c r="T70" s="86"/>
      <c r="U70" s="84"/>
    </row>
    <row r="71" spans="1:21" x14ac:dyDescent="0.3">
      <c r="A71" s="81"/>
      <c r="B71" s="86"/>
      <c r="C71" s="86"/>
      <c r="D71" s="86"/>
      <c r="E71" s="86"/>
      <c r="F71" s="86"/>
      <c r="G71" s="86"/>
      <c r="H71" s="86"/>
      <c r="I71" s="86"/>
      <c r="J71" s="86"/>
      <c r="K71" s="86"/>
      <c r="L71" s="86"/>
      <c r="M71" s="86"/>
      <c r="N71" s="86"/>
      <c r="O71" s="86"/>
      <c r="P71" s="86"/>
      <c r="Q71" s="86"/>
      <c r="R71" s="86"/>
      <c r="S71" s="86"/>
      <c r="T71" s="86"/>
      <c r="U71" s="84"/>
    </row>
    <row r="72" spans="1:21" x14ac:dyDescent="0.3">
      <c r="A72" s="81"/>
      <c r="B72" s="86"/>
      <c r="C72" s="86"/>
      <c r="D72" s="86"/>
      <c r="E72" s="86"/>
      <c r="F72" s="86"/>
      <c r="G72" s="86"/>
      <c r="H72" s="86"/>
      <c r="I72" s="86"/>
      <c r="J72" s="86"/>
      <c r="K72" s="86"/>
      <c r="L72" s="86"/>
      <c r="M72" s="86"/>
      <c r="N72" s="86"/>
      <c r="O72" s="86"/>
      <c r="P72" s="86"/>
      <c r="Q72" s="86"/>
      <c r="R72" s="86"/>
      <c r="S72" s="86"/>
      <c r="T72" s="86"/>
      <c r="U72" s="84"/>
    </row>
    <row r="73" spans="1:21" x14ac:dyDescent="0.3">
      <c r="A73" s="88"/>
      <c r="B73" s="89"/>
      <c r="C73" s="89"/>
      <c r="D73" s="89"/>
      <c r="E73" s="89"/>
      <c r="F73" s="89"/>
      <c r="G73" s="89"/>
      <c r="H73" s="89"/>
      <c r="I73" s="89"/>
      <c r="J73" s="89"/>
      <c r="K73" s="89"/>
      <c r="L73" s="89"/>
      <c r="M73" s="89"/>
      <c r="N73" s="89"/>
      <c r="O73" s="89"/>
      <c r="P73" s="89"/>
      <c r="Q73" s="89"/>
      <c r="R73" s="89"/>
      <c r="S73" s="89"/>
      <c r="T73" s="89"/>
      <c r="U73" s="90"/>
    </row>
  </sheetData>
  <mergeCells count="34">
    <mergeCell ref="B69:T69"/>
    <mergeCell ref="R6:T6"/>
    <mergeCell ref="B2:T2"/>
    <mergeCell ref="B10:T10"/>
    <mergeCell ref="B67:T67"/>
    <mergeCell ref="O6:Q6"/>
    <mergeCell ref="E5:G5"/>
    <mergeCell ref="E8:G8"/>
    <mergeCell ref="O9:Q9"/>
    <mergeCell ref="H9:J9"/>
    <mergeCell ref="B3:T3"/>
    <mergeCell ref="B5:D5"/>
    <mergeCell ref="B66:T66"/>
    <mergeCell ref="H5:J5"/>
    <mergeCell ref="R5:T5"/>
    <mergeCell ref="H8:J8"/>
    <mergeCell ref="R9:T9"/>
    <mergeCell ref="R8:T8"/>
    <mergeCell ref="B65:T65"/>
    <mergeCell ref="B68:T68"/>
    <mergeCell ref="E6:G6"/>
    <mergeCell ref="B64:T64"/>
    <mergeCell ref="H6:J6"/>
    <mergeCell ref="B63:T63"/>
    <mergeCell ref="L9:N9"/>
    <mergeCell ref="B9:D9"/>
    <mergeCell ref="O8:Q8"/>
    <mergeCell ref="L6:N6"/>
    <mergeCell ref="B6:D6"/>
    <mergeCell ref="O5:Q5"/>
    <mergeCell ref="B8:D8"/>
    <mergeCell ref="L5:N5"/>
    <mergeCell ref="L8:N8"/>
    <mergeCell ref="E9:G9"/>
  </mergeCells>
  <conditionalFormatting sqref="E9">
    <cfRule type="cellIs" dxfId="1" priority="1" operator="greaterThan">
      <formula>0</formula>
    </cfRule>
    <cfRule type="cellIs" dxfId="0" priority="2" operator="lessThan">
      <formula>0</formula>
    </cfRule>
  </conditionalFormatting>
  <pageMargins left="0.75" right="0.75" top="1" bottom="1" header="0.5" footer="0.5"/>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kishal Gosai</cp:lastModifiedBy>
  <dcterms:created xsi:type="dcterms:W3CDTF">2026-10-09T09:46:17Z</dcterms:created>
  <dcterms:modified xsi:type="dcterms:W3CDTF">2026-10-09T09:51:08Z</dcterms:modified>
</cp:coreProperties>
</file>